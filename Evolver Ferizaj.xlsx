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1-40" sheetId="10" r:id="rId1"/>
    <sheet name="Sheet1" sheetId="11" r:id="rId2"/>
    <sheet name="ev_HiddenInfo" sheetId="8" state="hidden" r:id="rId3"/>
    <sheet name="_PalUtilTempWorksheet" sheetId="7" state="hidden" r:id="rId4"/>
  </sheets>
  <definedNames>
    <definedName name="_xlnm._FilterDatabase" localSheetId="0" hidden="1">'1-40'!$A$1:$D$192</definedName>
    <definedName name="solver_adj" localSheetId="0" hidden="1">'1-40'!$D$2:$D$185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'1-40'!$G$2:$G$62</definedName>
    <definedName name="solver_lhs2" localSheetId="0" hidden="1">'1-40'!$D$2:$D$185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'1-40'!$D$192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5</definedName>
    <definedName name="solver_rhs1" localSheetId="0" hidden="1">'1-40'!$H$2:$H$62</definedName>
    <definedName name="solver_rhs2" localSheetId="0" hidden="1">binary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0" l="1"/>
  <c r="G54" i="10" l="1"/>
  <c r="G44" i="10"/>
  <c r="G7" i="10"/>
  <c r="G34" i="10"/>
  <c r="G19" i="10"/>
  <c r="G18" i="10"/>
  <c r="G35" i="10" l="1"/>
  <c r="G62" i="10"/>
  <c r="G61" i="10"/>
  <c r="G60" i="10"/>
  <c r="G59" i="10"/>
  <c r="G58" i="10"/>
  <c r="G57" i="10"/>
  <c r="G56" i="10"/>
  <c r="G55" i="10"/>
  <c r="G52" i="10"/>
  <c r="G53" i="10"/>
  <c r="G43" i="10"/>
  <c r="G51" i="10"/>
  <c r="G50" i="10"/>
  <c r="G49" i="10"/>
  <c r="G48" i="10"/>
  <c r="G47" i="10"/>
  <c r="G46" i="10"/>
  <c r="G45" i="10"/>
  <c r="G42" i="10" l="1"/>
  <c r="G41" i="10"/>
  <c r="G40" i="10"/>
  <c r="G39" i="10"/>
  <c r="G38" i="10"/>
  <c r="G37" i="10"/>
  <c r="G36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 l="1"/>
  <c r="G20" i="10"/>
  <c r="G17" i="10" l="1"/>
  <c r="G16" i="10"/>
  <c r="G15" i="10"/>
  <c r="G14" i="10"/>
  <c r="G13" i="10"/>
  <c r="G12" i="10"/>
  <c r="G10" i="10"/>
  <c r="G9" i="10" l="1"/>
  <c r="G8" i="10"/>
  <c r="G6" i="10" l="1"/>
  <c r="G5" i="10"/>
  <c r="G4" i="10"/>
  <c r="G3" i="10"/>
  <c r="G2" i="10"/>
  <c r="BF16" i="8" l="1"/>
  <c r="H16" i="8"/>
  <c r="D192" i="10"/>
  <c r="B1" i="8" s="1"/>
  <c r="BD16" i="8" l="1"/>
</calcChain>
</file>

<file path=xl/sharedStrings.xml><?xml version="1.0" encoding="utf-8"?>
<sst xmlns="http://schemas.openxmlformats.org/spreadsheetml/2006/main" count="193" uniqueCount="189">
  <si>
    <t>Nyja</t>
  </si>
  <si>
    <t>Target Cell</t>
  </si>
  <si>
    <t>UNUSED</t>
  </si>
  <si>
    <t>Method + #Operators(Legacy)</t>
  </si>
  <si>
    <t>Mutation Rate (Legacy)</t>
  </si>
  <si>
    <t>Crossover Rate (Legacy)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</si>
  <si>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</si>
  <si>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</si>
  <si>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</si>
  <si>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</si>
  <si>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</si>
  <si>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</si>
  <si>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</si>
  <si>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</si>
  <si>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</si>
  <si>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</si>
  <si>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</si>
  <si>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</si>
  <si>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</si>
  <si>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</si>
  <si>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</si>
  <si>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</si>
  <si>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</si>
  <si>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</si>
  <si>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</si>
  <si>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</si>
  <si>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Precision (added 6.0)</t>
  </si>
  <si>
    <t>RO Auto Eval Time (added 6.0)</t>
  </si>
  <si>
    <t>Is Disabled</t>
  </si>
  <si>
    <t>Use for EF</t>
  </si>
  <si>
    <t>EF Settings Have Been Defined</t>
  </si>
  <si>
    <t>EF Location of Constraining Values</t>
  </si>
  <si>
    <t>EF Min Constraining Value</t>
  </si>
  <si>
    <t>EF Max Constraining Value</t>
  </si>
  <si>
    <t>EF # of Constraining Values Between Min and Max</t>
  </si>
  <si>
    <t>EF Range with Constraining Values</t>
  </si>
  <si>
    <t>EF # of Constraining Values Listed</t>
  </si>
  <si>
    <t>Formula Conversion Cell (not used in v5)</t>
  </si>
  <si>
    <t>Number Formatting Cell (introduced in v5)</t>
  </si>
  <si>
    <t>Out Stats</t>
  </si>
  <si>
    <t>Mean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</si>
  <si>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</si>
  <si>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</si>
  <si>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</si>
  <si>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</si>
  <si>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</si>
  <si>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</si>
  <si>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</si>
  <si>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</si>
  <si>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</si>
  <si>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</si>
  <si>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</si>
  <si>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Genetic Algorithm - Discrete Variable Warning Shown</t>
  </si>
  <si>
    <t>ColorOptimizationCells Called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</si>
  <si>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</si>
  <si>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</si>
  <si>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</si>
  <si>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</si>
  <si>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VERSION 6.0 SETTINGS</t>
  </si>
  <si>
    <t>Optimization Engine</t>
  </si>
  <si>
    <t>Mutation Rate (becoming a single settings for all adjustable cell groups)</t>
  </si>
  <si>
    <t>Crossover Rate (becoming a single settings for all adjustable cell groups)</t>
  </si>
  <si>
    <t>Genetic Operators (becoming a single settings for all adjustable cell groups)</t>
  </si>
  <si>
    <t>Stopping on Projected Convergence (added in version 6; other simulation runtime settings got moved to @RISK)</t>
  </si>
  <si>
    <t>Population Size</t>
  </si>
  <si>
    <t>Seed (Is Auto, Value)</t>
  </si>
  <si>
    <t>Same Seed Each Simulation (this was used in RISKOptimizer version 5 and earlier)</t>
  </si>
  <si>
    <t>Sampling Type (this was used in RISKOptimizer version 5 and earlier)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</si>
  <si>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</si>
  <si>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</si>
  <si>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</si>
  <si>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</si>
  <si>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</si>
  <si>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EF Stopping Conditions</t>
  </si>
  <si>
    <t>EF Stop on Trials</t>
  </si>
  <si>
    <t>EF Trial Count</t>
  </si>
  <si>
    <t>EF Stop on Time</t>
  </si>
  <si>
    <t>EF Time Duration</t>
  </si>
  <si>
    <t>EF Time Unit</t>
  </si>
  <si>
    <t>EF Stop on Progress</t>
  </si>
  <si>
    <t>EF Trials (Progress)</t>
  </si>
  <si>
    <t>EF Max. Change (Progress)</t>
  </si>
  <si>
    <t>EF Max. Change is Percent (Progress)</t>
  </si>
  <si>
    <t>Sim. Stopping Mode, Tolerance (legacy settings used in v5 and earlier)</t>
  </si>
  <si>
    <t>#Iterations - Sim Stopping (legacy setting used in v5 and earlier))</t>
  </si>
  <si>
    <t>Keep Trial-by-Trial Log (if cell has anything other than False consider True, since Evolver 4 didn't have this setting); this setting no longer used staring with version 6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</si>
  <si>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</si>
  <si>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</si>
  <si>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</si>
  <si>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</si>
  <si>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</si>
  <si>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</si>
  <si>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Before Recalc (enabled, macro), starting with v6 RISKOptimizer uses corresponding @RISK macro</t>
  </si>
  <si>
    <t>After Recalc (enabled, macro), starting with v6 RISKOptimizer uses corresponding @RISK macro</t>
  </si>
  <si>
    <t>After Storage (enabled, macro)</t>
  </si>
  <si>
    <t>Finish (enabled, macro)</t>
  </si>
  <si>
    <t>Macro Before Simulation (enabled, macro), starting with v6, this is legacy setting</t>
  </si>
  <si>
    <t>Macro After Simulation (enabled, macro), starting with v6, this is legacy setting</t>
  </si>
  <si>
    <t>EFFICIENT FRONTIER</t>
  </si>
  <si>
    <t>Analysis Type (Standard vs. Efficient Frontier)</t>
  </si>
  <si>
    <t>EF Item to Constrain</t>
  </si>
  <si>
    <t>EF Constraint Minimum</t>
  </si>
  <si>
    <t>EF Constraint Maximum</t>
  </si>
  <si>
    <t>EF Formula for Dtools</t>
  </si>
  <si>
    <t>1,1,1,1,1,1,1,1,1,1,1</t>
  </si>
  <si>
    <t>7.0.0</t>
  </si>
  <si>
    <t>4.0.0</t>
  </si>
  <si>
    <t>DEFAULT PARENT SELECTION</t>
  </si>
  <si>
    <t>DEFAULT MUTATION</t>
  </si>
  <si>
    <t>DEFAULT CROSSOVER</t>
  </si>
  <si>
    <t>DEFAULT BACKTRACK</t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</si>
  <si>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</si>
  <si>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</si>
  <si>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</si>
  <si>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</si>
  <si>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</si>
  <si>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</si>
  <si>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</si>
  <si>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RECIPE_x0001_11</t>
  </si>
  <si>
    <t/>
  </si>
  <si>
    <t>True,False,False</t>
  </si>
  <si>
    <t>Prej nyjës</t>
  </si>
  <si>
    <t>Në nyjën</t>
  </si>
  <si>
    <t>Rruga e përzgjedhur prej Evolver</t>
  </si>
  <si>
    <t>Fluksi Neto</t>
  </si>
  <si>
    <t>1 Fillimi i shtegut
-1 Mbarimi i shtegut</t>
  </si>
  <si>
    <t>Shtigjet ndërmjet nyjeve</t>
  </si>
  <si>
    <t>5-41, 5-57, 5-31</t>
  </si>
  <si>
    <t>2-35, 2-38, 2-39</t>
  </si>
  <si>
    <t>4-03, 4-40, 4-41</t>
  </si>
  <si>
    <t>9-10, 9-27, 9-29</t>
  </si>
  <si>
    <t>10-9, 10-11, 10-12</t>
  </si>
  <si>
    <t>11-10, 11-12</t>
  </si>
  <si>
    <t>12-10, 12-11, 12-58</t>
  </si>
  <si>
    <t>14-7, 14-13, 14-51</t>
  </si>
  <si>
    <t>15-13, 15-16, 15-21</t>
  </si>
  <si>
    <t>19-22, 19-34, 19-44</t>
  </si>
  <si>
    <t>20-21, 20-44, 20-45</t>
  </si>
  <si>
    <t>21-15, 21-20</t>
  </si>
  <si>
    <t>22-19, 22-32, 22-45</t>
  </si>
  <si>
    <t>23-32, 23-49</t>
  </si>
  <si>
    <t>25-24, 25-37, 25-39</t>
  </si>
  <si>
    <t>1-59, 1-26, 1-6</t>
  </si>
  <si>
    <t>3-39, 3-4</t>
  </si>
  <si>
    <t>7-14, 7-6, 7-8, 7-18</t>
  </si>
  <si>
    <t>13-14, 13-15, 13-58, 13-48</t>
  </si>
  <si>
    <t>24-25, 24-47, 24-49, 24-54, 24-32</t>
  </si>
  <si>
    <t>28-27, 28-29, 28-30</t>
  </si>
  <si>
    <t>29-28, 29-9</t>
  </si>
  <si>
    <t>30-28, 30-31, 30-56</t>
  </si>
  <si>
    <t>31-5, 31-30, 31-56</t>
  </si>
  <si>
    <t>32-22, 32-23, 32-24, 32-54, 32-34</t>
  </si>
  <si>
    <t>36-35, 36-60, 36-43, 36-57</t>
  </si>
  <si>
    <t>37-26, 37-25, 37-38</t>
  </si>
  <si>
    <t>38-37, 38-2, 38-39</t>
  </si>
  <si>
    <t>39-25, 39-38,39-2, 39-3</t>
  </si>
  <si>
    <t>40-4, 40-41</t>
  </si>
  <si>
    <t>41-5, 41-4, 41-40</t>
  </si>
  <si>
    <t>42-27, 42-53</t>
  </si>
  <si>
    <t>45-22, 45-44, 45-20</t>
  </si>
  <si>
    <t>46-56</t>
  </si>
  <si>
    <t>47-24, 47-49</t>
  </si>
  <si>
    <t>48-13</t>
  </si>
  <si>
    <t>49-47, 49-24, 49-23</t>
  </si>
  <si>
    <t>50-17, 50-34, 50-52</t>
  </si>
  <si>
    <t>51-14, 51-18, 51-55</t>
  </si>
  <si>
    <t>52-50, 52-55, 52-16</t>
  </si>
  <si>
    <t>54-32, 54-34, 54-24, 54-26</t>
  </si>
  <si>
    <t>55-16, 55-17, 55-51, 55-52</t>
  </si>
  <si>
    <t>56-30, 56-31, 56-46</t>
  </si>
  <si>
    <t>57-5, 57-43, 57-36</t>
  </si>
  <si>
    <t>58-8, 58-12, 58-13</t>
  </si>
  <si>
    <t>59-1, 59-35, 59-60</t>
  </si>
  <si>
    <t>Gjatesia e rruges</t>
  </si>
  <si>
    <t>8-7, 8-53, 8-58, 8-27</t>
  </si>
  <si>
    <t>16-15, 16-52, 16-55</t>
  </si>
  <si>
    <t>26-37, 26-54, 26-33, 26-1</t>
  </si>
  <si>
    <t>27-42, 27-28, 27-8, 27-9</t>
  </si>
  <si>
    <t>35-36, 35-59, 35-2</t>
  </si>
  <si>
    <t>44-19, 44-20, 44-45</t>
  </si>
  <si>
    <t>60-6, 60-36, 60-59, 60-43</t>
  </si>
  <si>
    <t>34-19, 34-32, 34-54, 34-33, 34-50</t>
  </si>
  <si>
    <t>17-33, 17-50, 17-55, 17-18</t>
  </si>
  <si>
    <t>18-7, 18-17, 18-51</t>
  </si>
  <si>
    <t>33-17, 33-26, 33-34</t>
  </si>
  <si>
    <t>61-6, 61-43, 61-53</t>
  </si>
  <si>
    <t>6-60, 6-1, 6-7, 6-61</t>
  </si>
  <si>
    <t>43-36, 43-57, 43-61, 43-60</t>
  </si>
  <si>
    <t>53-61, 53-8, 53-42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</si>
</sst>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2499465926084170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34998626667073579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/>
      <top style="thin">
        <color theme="0" tint="-0.24994659260841701"/>
      </top>
      <bottom style="medium">
        <color auto="1"/>
      </bottom>
      <diagonal/>
    </border>
    <border>
      <left/>
      <right/>
      <top style="thin">
        <color theme="0" tint="-0.24994659260841701"/>
      </top>
      <bottom style="medium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NumberFormat="1" applyFill="1"/>
    <xf numFmtId="0" fontId="0" fillId="0" borderId="0" xfId="0" applyFill="1"/>
    <xf numFmtId="2" fontId="0" fillId="0" borderId="0" xfId="0" applyNumberFormat="1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2" fontId="0" fillId="3" borderId="0" xfId="0" applyNumberFormat="1" applyFill="1" applyAlignment="1">
      <alignment horizontal="left"/>
    </xf>
    <xf numFmtId="0" fontId="2" fillId="6" borderId="2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2" fontId="2" fillId="6" borderId="3" xfId="0" applyNumberFormat="1" applyFont="1" applyFill="1" applyBorder="1" applyAlignment="1">
      <alignment vertical="center"/>
    </xf>
    <xf numFmtId="2" fontId="2" fillId="6" borderId="4" xfId="0" applyNumberFormat="1" applyFont="1" applyFill="1" applyBorder="1" applyAlignment="1">
      <alignment vertical="center" wrapText="1"/>
    </xf>
    <xf numFmtId="2" fontId="0" fillId="0" borderId="0" xfId="0" applyNumberFormat="1" applyFill="1" applyAlignment="1">
      <alignment vertical="center" wrapText="1"/>
    </xf>
    <xf numFmtId="0" fontId="2" fillId="6" borderId="5" xfId="0" applyFont="1" applyFill="1" applyBorder="1" applyAlignment="1">
      <alignment vertical="center"/>
    </xf>
    <xf numFmtId="0" fontId="2" fillId="6" borderId="6" xfId="0" applyNumberFormat="1" applyFont="1" applyFill="1" applyBorder="1" applyAlignment="1">
      <alignment vertical="center"/>
    </xf>
    <xf numFmtId="2" fontId="2" fillId="6" borderId="6" xfId="0" applyNumberFormat="1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2" fontId="0" fillId="7" borderId="10" xfId="0" applyNumberFormat="1" applyFill="1" applyBorder="1"/>
    <xf numFmtId="0" fontId="0" fillId="0" borderId="11" xfId="0" applyBorder="1"/>
    <xf numFmtId="2" fontId="0" fillId="2" borderId="12" xfId="0" applyNumberFormat="1" applyFill="1" applyBorder="1"/>
    <xf numFmtId="0" fontId="0" fillId="2" borderId="12" xfId="0" applyNumberFormat="1" applyFill="1" applyBorder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2" fontId="0" fillId="7" borderId="16" xfId="0" applyNumberFormat="1" applyFill="1" applyBorder="1"/>
    <xf numFmtId="2" fontId="0" fillId="2" borderId="15" xfId="0" applyNumberFormat="1" applyFill="1" applyBorder="1"/>
    <xf numFmtId="0" fontId="0" fillId="2" borderId="15" xfId="0" applyNumberFormat="1" applyFill="1" applyBorder="1"/>
    <xf numFmtId="0" fontId="0" fillId="0" borderId="16" xfId="0" applyBorder="1"/>
    <xf numFmtId="2" fontId="1" fillId="2" borderId="15" xfId="0" applyNumberFormat="1" applyFont="1" applyFill="1" applyBorder="1"/>
    <xf numFmtId="0" fontId="0" fillId="0" borderId="14" xfId="0" applyFill="1" applyBorder="1"/>
    <xf numFmtId="0" fontId="0" fillId="0" borderId="15" xfId="0" applyFill="1" applyBorder="1"/>
    <xf numFmtId="2" fontId="0" fillId="0" borderId="15" xfId="0" applyNumberFormat="1" applyFill="1" applyBorder="1"/>
    <xf numFmtId="0" fontId="0" fillId="0" borderId="17" xfId="0" applyBorder="1"/>
    <xf numFmtId="2" fontId="0" fillId="2" borderId="18" xfId="0" applyNumberFormat="1" applyFill="1" applyBorder="1"/>
    <xf numFmtId="0" fontId="0" fillId="2" borderId="18" xfId="0" applyNumberFormat="1" applyFill="1" applyBorder="1"/>
    <xf numFmtId="2" fontId="2" fillId="6" borderId="23" xfId="0" applyNumberFormat="1" applyFont="1" applyFill="1" applyBorder="1"/>
    <xf numFmtId="0" fontId="0" fillId="0" borderId="13" xfId="0" applyFill="1" applyBorder="1"/>
    <xf numFmtId="0" fontId="0" fillId="0" borderId="16" xfId="0" applyFill="1" applyBorder="1"/>
    <xf numFmtId="0" fontId="0" fillId="0" borderId="19" xfId="0" applyFill="1" applyBorder="1"/>
    <xf numFmtId="0" fontId="1" fillId="0" borderId="14" xfId="0" applyFont="1" applyBorder="1"/>
    <xf numFmtId="0" fontId="1" fillId="0" borderId="15" xfId="0" applyFont="1" applyBorder="1"/>
    <xf numFmtId="2" fontId="1" fillId="0" borderId="15" xfId="0" applyNumberFormat="1" applyFont="1" applyBorder="1"/>
    <xf numFmtId="2" fontId="1" fillId="7" borderId="16" xfId="0" applyNumberFormat="1" applyFont="1" applyFill="1" applyBorder="1"/>
    <xf numFmtId="2" fontId="1" fillId="0" borderId="0" xfId="0" applyNumberFormat="1" applyFont="1" applyFill="1"/>
    <xf numFmtId="0" fontId="1" fillId="0" borderId="0" xfId="0" applyFont="1"/>
    <xf numFmtId="0" fontId="1" fillId="0" borderId="0" xfId="0" applyNumberFormat="1" applyFont="1" applyFill="1"/>
    <xf numFmtId="0" fontId="1" fillId="0" borderId="14" xfId="0" applyFont="1" applyFill="1" applyBorder="1"/>
    <xf numFmtId="0" fontId="1" fillId="0" borderId="15" xfId="0" applyFont="1" applyFill="1" applyBorder="1"/>
    <xf numFmtId="0" fontId="1" fillId="0" borderId="0" xfId="0" applyFont="1" applyFill="1"/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2" fontId="1" fillId="0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6640625" bestFit="1" customWidth="1"/>
    <col min="2" max="2" width="8.109375" bestFit="1" customWidth="1"/>
    <col min="3" max="3" width="17.77734375" customWidth="1"/>
    <col min="4" max="4" width="18.21875" customWidth="1"/>
    <col min="5" max="5" width="3.109375" style="2" customWidth="1"/>
    <col min="6" max="6" width="4.44140625" bestFit="1" customWidth="1"/>
    <col min="7" max="7" width="9.88671875" bestFit="1" customWidth="1"/>
    <col min="8" max="8" width="17.6640625" bestFit="1" customWidth="1"/>
    <col min="9" max="9" width="28" bestFit="1" customWidth="1"/>
    <col min="10" max="10" width="22.77734375" bestFit="1" customWidth="1"/>
  </cols>
  <sheetData>
    <row r="1" spans="1:10" s="22" customFormat="1" ht="28.8" x14ac:dyDescent="0.3">
      <c r="A1" s="13" t="s">
        <v>121</v>
      </c>
      <c r="B1" s="14" t="s">
        <v>122</v>
      </c>
      <c r="C1" s="15" t="s">
        <v>173</v>
      </c>
      <c r="D1" s="16" t="s">
        <v>123</v>
      </c>
      <c r="E1" s="17"/>
      <c r="F1" s="18" t="s">
        <v>0</v>
      </c>
      <c r="G1" s="19" t="s">
        <v>124</v>
      </c>
      <c r="H1" s="20" t="s">
        <v>125</v>
      </c>
      <c r="I1" s="21" t="s">
        <v>126</v>
      </c>
      <c r="J1" s="36"/>
    </row>
    <row r="2" spans="1:10" x14ac:dyDescent="0.3">
      <c r="A2" s="23">
        <v>1</v>
      </c>
      <c r="B2" s="24">
        <v>59</v>
      </c>
      <c r="C2" s="25">
        <v>310</v>
      </c>
      <c r="D2" s="26">
        <v>0</v>
      </c>
      <c r="E2" s="3"/>
      <c r="F2" s="27">
        <v>1</v>
      </c>
      <c r="G2" s="28">
        <f>D2-D3+D62-D63+D87-D86</f>
        <v>0</v>
      </c>
      <c r="H2" s="29">
        <v>0</v>
      </c>
      <c r="I2" s="45" t="s">
        <v>142</v>
      </c>
    </row>
    <row r="3" spans="1:10" x14ac:dyDescent="0.3">
      <c r="A3" s="30">
        <v>59</v>
      </c>
      <c r="B3" s="31">
        <v>1</v>
      </c>
      <c r="C3" s="32">
        <v>310</v>
      </c>
      <c r="D3" s="33">
        <v>0</v>
      </c>
      <c r="E3" s="3"/>
      <c r="F3" s="30">
        <v>2</v>
      </c>
      <c r="G3" s="34">
        <f>D7-D6+D14-D15+D168-D169</f>
        <v>0</v>
      </c>
      <c r="H3" s="35">
        <v>1</v>
      </c>
      <c r="I3" s="46" t="s">
        <v>128</v>
      </c>
    </row>
    <row r="4" spans="1:10" x14ac:dyDescent="0.3">
      <c r="A4" s="30">
        <v>35</v>
      </c>
      <c r="B4" s="31">
        <v>59</v>
      </c>
      <c r="C4" s="32">
        <v>53</v>
      </c>
      <c r="D4" s="33">
        <v>0</v>
      </c>
      <c r="E4" s="3"/>
      <c r="F4" s="30">
        <v>3</v>
      </c>
      <c r="G4" s="34">
        <f>D21-D20+D22-D23</f>
        <v>0</v>
      </c>
      <c r="H4" s="35">
        <v>0</v>
      </c>
      <c r="I4" s="46" t="s">
        <v>143</v>
      </c>
    </row>
    <row r="5" spans="1:10" x14ac:dyDescent="0.3">
      <c r="A5" s="30">
        <v>59</v>
      </c>
      <c r="B5" s="31">
        <v>35</v>
      </c>
      <c r="C5" s="32">
        <v>53</v>
      </c>
      <c r="D5" s="33">
        <v>0</v>
      </c>
      <c r="E5" s="3"/>
      <c r="F5" s="30">
        <v>4</v>
      </c>
      <c r="G5" s="34">
        <f>D23-D22+D24-D25+D28-D29</f>
        <v>0</v>
      </c>
      <c r="H5" s="35">
        <v>0</v>
      </c>
      <c r="I5" s="46" t="s">
        <v>129</v>
      </c>
    </row>
    <row r="6" spans="1:10" x14ac:dyDescent="0.3">
      <c r="A6" s="30">
        <v>35</v>
      </c>
      <c r="B6" s="31">
        <v>2</v>
      </c>
      <c r="C6" s="32">
        <v>120</v>
      </c>
      <c r="D6" s="33">
        <v>0</v>
      </c>
      <c r="E6" s="3"/>
      <c r="F6" s="30">
        <v>5</v>
      </c>
      <c r="G6" s="34">
        <f>D31-D30+D32-D33+D36-D37</f>
        <v>0</v>
      </c>
      <c r="H6" s="35">
        <v>0</v>
      </c>
      <c r="I6" s="46" t="s">
        <v>127</v>
      </c>
    </row>
    <row r="7" spans="1:10" x14ac:dyDescent="0.3">
      <c r="A7" s="30">
        <v>2</v>
      </c>
      <c r="B7" s="31">
        <v>35</v>
      </c>
      <c r="C7" s="32">
        <v>120</v>
      </c>
      <c r="D7" s="33">
        <v>0</v>
      </c>
      <c r="E7" s="3"/>
      <c r="F7" s="30">
        <v>6</v>
      </c>
      <c r="G7" s="34">
        <f>D85-D84+D86-D87+D88-D89+D151-D150</f>
        <v>0</v>
      </c>
      <c r="H7" s="35">
        <v>0</v>
      </c>
      <c r="I7" s="46" t="s">
        <v>186</v>
      </c>
    </row>
    <row r="8" spans="1:10" x14ac:dyDescent="0.3">
      <c r="A8" s="30">
        <v>35</v>
      </c>
      <c r="B8" s="31">
        <v>36</v>
      </c>
      <c r="C8" s="32">
        <v>405</v>
      </c>
      <c r="D8" s="33">
        <v>0</v>
      </c>
      <c r="E8" s="3"/>
      <c r="F8" s="30">
        <v>7</v>
      </c>
      <c r="G8" s="34">
        <f>D61-D60+D70-D71+D89-D88+D159-D158</f>
        <v>0</v>
      </c>
      <c r="H8" s="35">
        <v>0</v>
      </c>
      <c r="I8" s="46" t="s">
        <v>144</v>
      </c>
    </row>
    <row r="9" spans="1:10" x14ac:dyDescent="0.3">
      <c r="A9" s="30">
        <v>36</v>
      </c>
      <c r="B9" s="31">
        <v>35</v>
      </c>
      <c r="C9" s="32">
        <v>405</v>
      </c>
      <c r="D9" s="33">
        <v>0</v>
      </c>
      <c r="E9" s="3"/>
      <c r="F9" s="30">
        <v>8</v>
      </c>
      <c r="G9" s="34">
        <f>D65-D64+D157-D156+D158-D159+D180-D181</f>
        <v>0</v>
      </c>
      <c r="H9" s="35">
        <v>0</v>
      </c>
      <c r="I9" s="46" t="s">
        <v>174</v>
      </c>
    </row>
    <row r="10" spans="1:10" x14ac:dyDescent="0.3">
      <c r="A10" s="30">
        <v>60</v>
      </c>
      <c r="B10" s="31">
        <v>59</v>
      </c>
      <c r="C10" s="32">
        <v>421</v>
      </c>
      <c r="D10" s="33">
        <v>0</v>
      </c>
      <c r="E10" s="3"/>
      <c r="F10" s="30">
        <v>9</v>
      </c>
      <c r="G10" s="34">
        <f>D47-D46+D48-D49+D155-D154</f>
        <v>0</v>
      </c>
      <c r="H10" s="35">
        <v>0</v>
      </c>
      <c r="I10" s="46" t="s">
        <v>130</v>
      </c>
    </row>
    <row r="11" spans="1:10" x14ac:dyDescent="0.3">
      <c r="A11" s="30">
        <v>59</v>
      </c>
      <c r="B11" s="31">
        <v>60</v>
      </c>
      <c r="C11" s="32">
        <v>421</v>
      </c>
      <c r="D11" s="33">
        <v>0</v>
      </c>
      <c r="E11" s="3"/>
      <c r="F11" s="30">
        <v>10</v>
      </c>
      <c r="G11" s="34">
        <f>D49-D48+D50-D51+D52-D53</f>
        <v>0</v>
      </c>
      <c r="H11" s="35">
        <v>0</v>
      </c>
      <c r="I11" s="46" t="s">
        <v>131</v>
      </c>
    </row>
    <row r="12" spans="1:10" x14ac:dyDescent="0.3">
      <c r="A12" s="30">
        <v>36</v>
      </c>
      <c r="B12" s="31">
        <v>60</v>
      </c>
      <c r="C12" s="32">
        <v>36</v>
      </c>
      <c r="D12" s="33">
        <v>0</v>
      </c>
      <c r="E12" s="3"/>
      <c r="F12" s="30">
        <v>11</v>
      </c>
      <c r="G12" s="34">
        <f>D51-D50+D54-D55</f>
        <v>0</v>
      </c>
      <c r="H12" s="35">
        <v>0</v>
      </c>
      <c r="I12" s="46" t="s">
        <v>132</v>
      </c>
    </row>
    <row r="13" spans="1:10" x14ac:dyDescent="0.3">
      <c r="A13" s="30">
        <v>60</v>
      </c>
      <c r="B13" s="31">
        <v>36</v>
      </c>
      <c r="C13" s="32">
        <v>36</v>
      </c>
      <c r="D13" s="33">
        <v>0</v>
      </c>
      <c r="E13" s="3"/>
      <c r="F13" s="30">
        <v>12</v>
      </c>
      <c r="G13" s="34">
        <f>D53-D52+D55-D54+D184-D185</f>
        <v>0</v>
      </c>
      <c r="H13" s="35">
        <v>0</v>
      </c>
      <c r="I13" s="46" t="s">
        <v>133</v>
      </c>
    </row>
    <row r="14" spans="1:10" x14ac:dyDescent="0.3">
      <c r="A14" s="30">
        <v>2</v>
      </c>
      <c r="B14" s="31">
        <v>38</v>
      </c>
      <c r="C14" s="32">
        <v>420</v>
      </c>
      <c r="D14" s="33">
        <v>0</v>
      </c>
      <c r="E14" s="3"/>
      <c r="F14" s="30">
        <v>13</v>
      </c>
      <c r="G14" s="37">
        <f>D56-D57+D92-D93+D182-D183+D186-D187</f>
        <v>0</v>
      </c>
      <c r="H14" s="35">
        <v>0</v>
      </c>
      <c r="I14" s="46" t="s">
        <v>145</v>
      </c>
    </row>
    <row r="15" spans="1:10" x14ac:dyDescent="0.3">
      <c r="A15" s="30">
        <v>38</v>
      </c>
      <c r="B15" s="31">
        <v>2</v>
      </c>
      <c r="C15" s="32">
        <v>420</v>
      </c>
      <c r="D15" s="33">
        <v>0</v>
      </c>
      <c r="E15" s="3"/>
      <c r="F15" s="30">
        <v>14</v>
      </c>
      <c r="G15" s="34">
        <f>D57-D56+D58-D59+D60-D61</f>
        <v>0</v>
      </c>
      <c r="H15" s="35">
        <v>0</v>
      </c>
      <c r="I15" s="46" t="s">
        <v>134</v>
      </c>
    </row>
    <row r="16" spans="1:10" x14ac:dyDescent="0.3">
      <c r="A16" s="30">
        <v>38</v>
      </c>
      <c r="B16" s="31">
        <v>39</v>
      </c>
      <c r="C16" s="32">
        <v>238</v>
      </c>
      <c r="D16" s="33">
        <v>0</v>
      </c>
      <c r="E16" s="3"/>
      <c r="F16" s="30">
        <v>15</v>
      </c>
      <c r="G16" s="34">
        <f>D93-D92+D97-D96+D98-D99</f>
        <v>0</v>
      </c>
      <c r="H16" s="35">
        <v>0</v>
      </c>
      <c r="I16" s="46" t="s">
        <v>135</v>
      </c>
    </row>
    <row r="17" spans="1:9" x14ac:dyDescent="0.3">
      <c r="A17" s="30">
        <v>39</v>
      </c>
      <c r="B17" s="31">
        <v>38</v>
      </c>
      <c r="C17" s="32">
        <v>238</v>
      </c>
      <c r="D17" s="33">
        <v>0</v>
      </c>
      <c r="E17" s="3"/>
      <c r="F17" s="30">
        <v>16</v>
      </c>
      <c r="G17" s="34">
        <f>D95-D94+D96-D97+D190-D191</f>
        <v>0</v>
      </c>
      <c r="H17" s="35">
        <v>0</v>
      </c>
      <c r="I17" s="46" t="s">
        <v>175</v>
      </c>
    </row>
    <row r="18" spans="1:9" x14ac:dyDescent="0.3">
      <c r="A18" s="30">
        <v>39</v>
      </c>
      <c r="B18" s="31">
        <v>25</v>
      </c>
      <c r="C18" s="32">
        <v>791</v>
      </c>
      <c r="D18" s="33">
        <v>0</v>
      </c>
      <c r="E18" s="3"/>
      <c r="F18" s="30">
        <v>17</v>
      </c>
      <c r="G18" s="34">
        <f>D75-D74+D76-D77+D139-D138+D140-D141</f>
        <v>0</v>
      </c>
      <c r="H18" s="35">
        <v>0</v>
      </c>
      <c r="I18" s="46" t="s">
        <v>182</v>
      </c>
    </row>
    <row r="19" spans="1:9" x14ac:dyDescent="0.3">
      <c r="A19" s="30">
        <v>25</v>
      </c>
      <c r="B19" s="31">
        <v>39</v>
      </c>
      <c r="C19" s="32">
        <v>791</v>
      </c>
      <c r="D19" s="33">
        <v>0</v>
      </c>
      <c r="E19" s="3"/>
      <c r="F19" s="30">
        <v>18</v>
      </c>
      <c r="G19" s="34">
        <f>D71-D70+D81-D80+D74-D75</f>
        <v>0</v>
      </c>
      <c r="H19" s="35">
        <v>0</v>
      </c>
      <c r="I19" s="46" t="s">
        <v>183</v>
      </c>
    </row>
    <row r="20" spans="1:9" x14ac:dyDescent="0.3">
      <c r="A20" s="30">
        <v>39</v>
      </c>
      <c r="B20" s="31">
        <v>3</v>
      </c>
      <c r="C20" s="32">
        <v>573</v>
      </c>
      <c r="D20" s="33">
        <v>0</v>
      </c>
      <c r="E20" s="3"/>
      <c r="F20" s="30">
        <v>19</v>
      </c>
      <c r="G20" s="34">
        <f>D111-D110+D112-D113+D116-D117</f>
        <v>0</v>
      </c>
      <c r="H20" s="35">
        <v>0</v>
      </c>
      <c r="I20" s="46" t="s">
        <v>136</v>
      </c>
    </row>
    <row r="21" spans="1:9" x14ac:dyDescent="0.3">
      <c r="A21" s="30">
        <v>3</v>
      </c>
      <c r="B21" s="31">
        <v>39</v>
      </c>
      <c r="C21" s="32">
        <v>573</v>
      </c>
      <c r="D21" s="33">
        <v>0</v>
      </c>
      <c r="E21" s="3"/>
      <c r="F21" s="30">
        <v>20</v>
      </c>
      <c r="G21" s="34">
        <f>D101-D100+D102-D103+D104-D105</f>
        <v>0</v>
      </c>
      <c r="H21" s="35">
        <v>0</v>
      </c>
      <c r="I21" s="46" t="s">
        <v>137</v>
      </c>
    </row>
    <row r="22" spans="1:9" x14ac:dyDescent="0.3">
      <c r="A22" s="30">
        <v>3</v>
      </c>
      <c r="B22" s="31">
        <v>4</v>
      </c>
      <c r="C22" s="32">
        <v>1660</v>
      </c>
      <c r="D22" s="33">
        <v>0</v>
      </c>
      <c r="E22" s="3"/>
      <c r="F22" s="30">
        <v>21</v>
      </c>
      <c r="G22" s="34">
        <f>D99-D98+D100-D101</f>
        <v>0</v>
      </c>
      <c r="H22" s="35">
        <v>0</v>
      </c>
      <c r="I22" s="46" t="s">
        <v>138</v>
      </c>
    </row>
    <row r="23" spans="1:9" x14ac:dyDescent="0.3">
      <c r="A23" s="30">
        <v>4</v>
      </c>
      <c r="B23" s="31">
        <v>3</v>
      </c>
      <c r="C23" s="32">
        <v>1660</v>
      </c>
      <c r="D23" s="33">
        <v>0</v>
      </c>
      <c r="E23" s="3"/>
      <c r="F23" s="30">
        <v>22</v>
      </c>
      <c r="G23" s="34">
        <f>D109-D108+D113-D112+D114-D115</f>
        <v>0</v>
      </c>
      <c r="H23" s="35">
        <v>0</v>
      </c>
      <c r="I23" s="46" t="s">
        <v>139</v>
      </c>
    </row>
    <row r="24" spans="1:9" x14ac:dyDescent="0.3">
      <c r="A24" s="30">
        <v>4</v>
      </c>
      <c r="B24" s="31">
        <v>40</v>
      </c>
      <c r="C24" s="32">
        <v>1220</v>
      </c>
      <c r="D24" s="33">
        <v>0</v>
      </c>
      <c r="E24" s="3"/>
      <c r="F24" s="30">
        <v>23</v>
      </c>
      <c r="G24" s="34">
        <f>D119-D118+D120-D121</f>
        <v>0</v>
      </c>
      <c r="H24" s="35">
        <v>0</v>
      </c>
      <c r="I24" s="46" t="s">
        <v>140</v>
      </c>
    </row>
    <row r="25" spans="1:9" x14ac:dyDescent="0.3">
      <c r="A25" s="30">
        <v>40</v>
      </c>
      <c r="B25" s="31">
        <v>4</v>
      </c>
      <c r="C25" s="32">
        <v>1220</v>
      </c>
      <c r="D25" s="33">
        <v>0</v>
      </c>
      <c r="E25" s="3"/>
      <c r="F25" s="30">
        <v>24</v>
      </c>
      <c r="G25" s="34">
        <f>D123-D122+D126-D125+D163-D162+D170-D171+D172-D173</f>
        <v>0</v>
      </c>
      <c r="H25" s="35">
        <v>0</v>
      </c>
      <c r="I25" s="46" t="s">
        <v>146</v>
      </c>
    </row>
    <row r="26" spans="1:9" x14ac:dyDescent="0.3">
      <c r="A26" s="30">
        <v>40</v>
      </c>
      <c r="B26" s="31">
        <v>41</v>
      </c>
      <c r="C26" s="32">
        <v>1130</v>
      </c>
      <c r="D26" s="33">
        <v>0</v>
      </c>
      <c r="E26" s="3"/>
      <c r="F26" s="30">
        <v>25</v>
      </c>
      <c r="G26" s="34">
        <f>D19-D18+D127-D126+D128-D129</f>
        <v>0</v>
      </c>
      <c r="H26" s="35">
        <v>0</v>
      </c>
      <c r="I26" s="46" t="s">
        <v>141</v>
      </c>
    </row>
    <row r="27" spans="1:9" x14ac:dyDescent="0.3">
      <c r="A27" s="30">
        <v>41</v>
      </c>
      <c r="B27" s="31">
        <v>40</v>
      </c>
      <c r="C27" s="32">
        <v>1130</v>
      </c>
      <c r="D27" s="33">
        <v>0</v>
      </c>
      <c r="E27" s="3"/>
      <c r="F27" s="30">
        <v>26</v>
      </c>
      <c r="G27" s="34">
        <f>D63-D62+D133-D132+D134-D135+D136-D137</f>
        <v>0</v>
      </c>
      <c r="H27" s="35">
        <v>-1</v>
      </c>
      <c r="I27" s="46" t="s">
        <v>176</v>
      </c>
    </row>
    <row r="28" spans="1:9" x14ac:dyDescent="0.3">
      <c r="A28" s="30">
        <v>4</v>
      </c>
      <c r="B28" s="31">
        <v>41</v>
      </c>
      <c r="C28" s="32">
        <v>1080</v>
      </c>
      <c r="D28" s="33">
        <v>0</v>
      </c>
      <c r="E28" s="3"/>
      <c r="F28" s="30">
        <v>27</v>
      </c>
      <c r="G28" s="34">
        <f>D73-D72+D153-D152+D154-D155+D156-D157</f>
        <v>0</v>
      </c>
      <c r="H28" s="35">
        <v>0</v>
      </c>
      <c r="I28" s="46" t="s">
        <v>177</v>
      </c>
    </row>
    <row r="29" spans="1:9" x14ac:dyDescent="0.3">
      <c r="A29" s="30">
        <v>41</v>
      </c>
      <c r="B29" s="31">
        <v>4</v>
      </c>
      <c r="C29" s="32">
        <v>1080</v>
      </c>
      <c r="D29" s="33">
        <v>0</v>
      </c>
      <c r="E29" s="3"/>
      <c r="F29" s="30">
        <v>28</v>
      </c>
      <c r="G29" s="34">
        <f>D43-D42+D44-D45+D152-D153</f>
        <v>0</v>
      </c>
      <c r="H29" s="35">
        <v>0</v>
      </c>
      <c r="I29" s="46" t="s">
        <v>147</v>
      </c>
    </row>
    <row r="30" spans="1:9" x14ac:dyDescent="0.3">
      <c r="A30" s="30">
        <v>41</v>
      </c>
      <c r="B30" s="31">
        <v>5</v>
      </c>
      <c r="C30" s="32">
        <v>1091</v>
      </c>
      <c r="D30" s="33">
        <v>0</v>
      </c>
      <c r="E30" s="3"/>
      <c r="F30" s="30">
        <v>29</v>
      </c>
      <c r="G30" s="34">
        <f>D45-D44+D46-D47</f>
        <v>0</v>
      </c>
      <c r="H30" s="35">
        <v>0</v>
      </c>
      <c r="I30" s="46" t="s">
        <v>148</v>
      </c>
    </row>
    <row r="31" spans="1:9" x14ac:dyDescent="0.3">
      <c r="A31" s="30">
        <v>5</v>
      </c>
      <c r="B31" s="31">
        <v>41</v>
      </c>
      <c r="C31" s="32">
        <v>1091</v>
      </c>
      <c r="D31" s="33">
        <v>0</v>
      </c>
      <c r="E31" s="3"/>
      <c r="F31" s="30">
        <v>30</v>
      </c>
      <c r="G31" s="34">
        <f>D41-D40-D43-D42+D167-D166</f>
        <v>0</v>
      </c>
      <c r="H31" s="35">
        <v>0</v>
      </c>
      <c r="I31" s="46" t="s">
        <v>149</v>
      </c>
    </row>
    <row r="32" spans="1:9" x14ac:dyDescent="0.3">
      <c r="A32" s="30">
        <v>5</v>
      </c>
      <c r="B32" s="31">
        <v>57</v>
      </c>
      <c r="C32" s="32">
        <v>1500</v>
      </c>
      <c r="D32" s="33">
        <v>0</v>
      </c>
      <c r="E32" s="3"/>
      <c r="F32" s="30">
        <v>31</v>
      </c>
      <c r="G32" s="34">
        <f>D37-D36+D38-D39+D40-D41</f>
        <v>0</v>
      </c>
      <c r="H32" s="35">
        <v>0</v>
      </c>
      <c r="I32" s="46" t="s">
        <v>150</v>
      </c>
    </row>
    <row r="33" spans="1:9" x14ac:dyDescent="0.3">
      <c r="A33" s="30">
        <v>57</v>
      </c>
      <c r="B33" s="31">
        <v>5</v>
      </c>
      <c r="C33" s="32">
        <v>1500</v>
      </c>
      <c r="D33" s="33">
        <v>0</v>
      </c>
      <c r="E33" s="3"/>
      <c r="F33" s="30">
        <v>32</v>
      </c>
      <c r="G33" s="34">
        <f>D115-D114+D118-D119+D173-D172+D174-D175+D176-D177</f>
        <v>0</v>
      </c>
      <c r="H33" s="35">
        <v>0</v>
      </c>
      <c r="I33" s="46" t="s">
        <v>151</v>
      </c>
    </row>
    <row r="34" spans="1:9" x14ac:dyDescent="0.3">
      <c r="A34" s="30">
        <v>57</v>
      </c>
      <c r="B34" s="31">
        <v>36</v>
      </c>
      <c r="C34" s="32">
        <v>176</v>
      </c>
      <c r="D34" s="33">
        <v>0</v>
      </c>
      <c r="E34" s="3"/>
      <c r="F34" s="30">
        <v>33</v>
      </c>
      <c r="G34" s="34">
        <f>D137-D136+D141-D140+D142-D143</f>
        <v>0</v>
      </c>
      <c r="H34" s="35">
        <v>0</v>
      </c>
      <c r="I34" s="46" t="s">
        <v>184</v>
      </c>
    </row>
    <row r="35" spans="1:9" x14ac:dyDescent="0.3">
      <c r="A35" s="30">
        <v>36</v>
      </c>
      <c r="B35" s="31">
        <v>57</v>
      </c>
      <c r="C35" s="32">
        <v>176</v>
      </c>
      <c r="D35" s="33">
        <v>0</v>
      </c>
      <c r="E35" s="3"/>
      <c r="F35" s="30">
        <v>34</v>
      </c>
      <c r="G35" s="34">
        <f>D117-D116+D124-D125+D143-D142+D144-D145+D177-D176</f>
        <v>0</v>
      </c>
      <c r="H35" s="35">
        <v>0</v>
      </c>
      <c r="I35" s="46" t="s">
        <v>181</v>
      </c>
    </row>
    <row r="36" spans="1:9" x14ac:dyDescent="0.3">
      <c r="A36" s="30">
        <v>5</v>
      </c>
      <c r="B36" s="31">
        <v>31</v>
      </c>
      <c r="C36" s="32">
        <v>592</v>
      </c>
      <c r="D36" s="33">
        <v>0</v>
      </c>
      <c r="E36" s="3"/>
      <c r="F36" s="30">
        <v>35</v>
      </c>
      <c r="G36" s="34">
        <f>D4-D5+D6-D7+D8-D9</f>
        <v>0</v>
      </c>
      <c r="H36" s="35">
        <v>0</v>
      </c>
      <c r="I36" s="46" t="s">
        <v>178</v>
      </c>
    </row>
    <row r="37" spans="1:9" x14ac:dyDescent="0.3">
      <c r="A37" s="30">
        <v>31</v>
      </c>
      <c r="B37" s="31">
        <v>5</v>
      </c>
      <c r="C37" s="32">
        <v>592</v>
      </c>
      <c r="D37" s="33">
        <v>0</v>
      </c>
      <c r="E37" s="3"/>
      <c r="F37" s="30">
        <v>36</v>
      </c>
      <c r="G37" s="34">
        <f>D9-D8+D12-D13+D35-D34+D146-D147</f>
        <v>0</v>
      </c>
      <c r="H37" s="35">
        <v>0</v>
      </c>
      <c r="I37" s="46" t="s">
        <v>152</v>
      </c>
    </row>
    <row r="38" spans="1:9" x14ac:dyDescent="0.3">
      <c r="A38" s="38">
        <v>31</v>
      </c>
      <c r="B38" s="39">
        <v>56</v>
      </c>
      <c r="C38" s="40">
        <v>1630</v>
      </c>
      <c r="D38" s="33">
        <v>0</v>
      </c>
      <c r="E38" s="3"/>
      <c r="F38" s="30">
        <v>37</v>
      </c>
      <c r="G38" s="34">
        <f>D129-D128+D130-D131+D132-D133</f>
        <v>0</v>
      </c>
      <c r="H38" s="35">
        <v>0</v>
      </c>
      <c r="I38" s="46" t="s">
        <v>153</v>
      </c>
    </row>
    <row r="39" spans="1:9" x14ac:dyDescent="0.3">
      <c r="A39" s="38">
        <v>56</v>
      </c>
      <c r="B39" s="39">
        <v>31</v>
      </c>
      <c r="C39" s="40">
        <v>1630</v>
      </c>
      <c r="D39" s="33">
        <v>0</v>
      </c>
      <c r="E39" s="3"/>
      <c r="F39" s="30">
        <v>38</v>
      </c>
      <c r="G39" s="34">
        <f>D15-D14+D16-D17+D131-D130</f>
        <v>0</v>
      </c>
      <c r="H39" s="35">
        <v>0</v>
      </c>
      <c r="I39" s="46" t="s">
        <v>154</v>
      </c>
    </row>
    <row r="40" spans="1:9" x14ac:dyDescent="0.3">
      <c r="A40" s="30">
        <v>31</v>
      </c>
      <c r="B40" s="31">
        <v>30</v>
      </c>
      <c r="C40" s="32">
        <v>1580</v>
      </c>
      <c r="D40" s="33">
        <v>0</v>
      </c>
      <c r="E40" s="3"/>
      <c r="F40" s="30">
        <v>39</v>
      </c>
      <c r="G40" s="34">
        <f>D17-D16+D18-D19+D20-D21+D169-D168</f>
        <v>0</v>
      </c>
      <c r="H40" s="35">
        <v>0</v>
      </c>
      <c r="I40" s="46" t="s">
        <v>155</v>
      </c>
    </row>
    <row r="41" spans="1:9" x14ac:dyDescent="0.3">
      <c r="A41" s="30">
        <v>30</v>
      </c>
      <c r="B41" s="31">
        <v>31</v>
      </c>
      <c r="C41" s="32">
        <v>1580</v>
      </c>
      <c r="D41" s="33">
        <v>0</v>
      </c>
      <c r="E41" s="3"/>
      <c r="F41" s="30">
        <v>40</v>
      </c>
      <c r="G41" s="34">
        <f>D25-D24+D26-D27</f>
        <v>0</v>
      </c>
      <c r="H41" s="35">
        <v>0</v>
      </c>
      <c r="I41" s="46" t="s">
        <v>156</v>
      </c>
    </row>
    <row r="42" spans="1:9" x14ac:dyDescent="0.3">
      <c r="A42" s="30">
        <v>30</v>
      </c>
      <c r="B42" s="31">
        <v>28</v>
      </c>
      <c r="C42" s="32">
        <v>336</v>
      </c>
      <c r="D42" s="33">
        <v>0</v>
      </c>
      <c r="E42" s="3"/>
      <c r="F42" s="30">
        <v>41</v>
      </c>
      <c r="G42" s="34">
        <f>D27-D26+D29-D28+D30-D31</f>
        <v>0</v>
      </c>
      <c r="H42" s="35">
        <v>0</v>
      </c>
      <c r="I42" s="46" t="s">
        <v>157</v>
      </c>
    </row>
    <row r="43" spans="1:9" x14ac:dyDescent="0.3">
      <c r="A43" s="30">
        <v>28</v>
      </c>
      <c r="B43" s="31">
        <v>30</v>
      </c>
      <c r="C43" s="32">
        <v>336</v>
      </c>
      <c r="D43" s="33">
        <v>0</v>
      </c>
      <c r="E43" s="3"/>
      <c r="F43" s="30">
        <v>42</v>
      </c>
      <c r="G43" s="34">
        <f>D68-D69+D72-D73</f>
        <v>0</v>
      </c>
      <c r="H43" s="35">
        <v>0</v>
      </c>
      <c r="I43" s="46" t="s">
        <v>158</v>
      </c>
    </row>
    <row r="44" spans="1:9" x14ac:dyDescent="0.3">
      <c r="A44" s="30">
        <v>28</v>
      </c>
      <c r="B44" s="31">
        <v>29</v>
      </c>
      <c r="C44" s="32">
        <v>410</v>
      </c>
      <c r="D44" s="33">
        <v>0</v>
      </c>
      <c r="E44" s="3"/>
      <c r="F44" s="30">
        <v>43</v>
      </c>
      <c r="G44" s="34">
        <f>D83-D82+D91-D90+D147-D146+D148-D149</f>
        <v>0</v>
      </c>
      <c r="H44" s="35">
        <v>0</v>
      </c>
      <c r="I44" s="46" t="s">
        <v>187</v>
      </c>
    </row>
    <row r="45" spans="1:9" x14ac:dyDescent="0.3">
      <c r="A45" s="30">
        <v>29</v>
      </c>
      <c r="B45" s="31">
        <v>28</v>
      </c>
      <c r="C45" s="32">
        <v>410</v>
      </c>
      <c r="D45" s="33">
        <v>0</v>
      </c>
      <c r="E45" s="3"/>
      <c r="F45" s="30">
        <v>44</v>
      </c>
      <c r="G45" s="34">
        <f>D105-D104+D106-D107+D110-D111</f>
        <v>0</v>
      </c>
      <c r="H45" s="35">
        <v>0</v>
      </c>
      <c r="I45" s="46" t="s">
        <v>179</v>
      </c>
    </row>
    <row r="46" spans="1:9" x14ac:dyDescent="0.3">
      <c r="A46" s="30">
        <v>29</v>
      </c>
      <c r="B46" s="31">
        <v>9</v>
      </c>
      <c r="C46" s="32">
        <v>445</v>
      </c>
      <c r="D46" s="33">
        <v>0</v>
      </c>
      <c r="E46" s="3"/>
      <c r="F46" s="30">
        <v>45</v>
      </c>
      <c r="G46" s="34">
        <f>D103-D102+D107-D106+D108-D109</f>
        <v>0</v>
      </c>
      <c r="H46" s="35">
        <v>0</v>
      </c>
      <c r="I46" s="46" t="s">
        <v>159</v>
      </c>
    </row>
    <row r="47" spans="1:9" x14ac:dyDescent="0.3">
      <c r="A47" s="30">
        <v>9</v>
      </c>
      <c r="B47" s="31">
        <v>29</v>
      </c>
      <c r="C47" s="32">
        <v>445</v>
      </c>
      <c r="D47" s="33">
        <v>0</v>
      </c>
      <c r="E47" s="3"/>
      <c r="F47" s="30">
        <v>46</v>
      </c>
      <c r="G47" s="34">
        <f>D165-D164</f>
        <v>0</v>
      </c>
      <c r="H47" s="35">
        <v>0</v>
      </c>
      <c r="I47" s="46" t="s">
        <v>160</v>
      </c>
    </row>
    <row r="48" spans="1:9" x14ac:dyDescent="0.3">
      <c r="A48" s="30">
        <v>9</v>
      </c>
      <c r="B48" s="31">
        <v>10</v>
      </c>
      <c r="C48" s="32">
        <v>2004</v>
      </c>
      <c r="D48" s="33">
        <v>0</v>
      </c>
      <c r="E48" s="3"/>
      <c r="F48" s="30">
        <v>47</v>
      </c>
      <c r="G48" s="34">
        <f>D161-D160+D162-D163</f>
        <v>0</v>
      </c>
      <c r="H48" s="35">
        <v>0</v>
      </c>
      <c r="I48" s="46" t="s">
        <v>161</v>
      </c>
    </row>
    <row r="49" spans="1:9" x14ac:dyDescent="0.3">
      <c r="A49" s="30">
        <v>10</v>
      </c>
      <c r="B49" s="31">
        <v>9</v>
      </c>
      <c r="C49" s="32">
        <v>2004</v>
      </c>
      <c r="D49" s="33">
        <v>0</v>
      </c>
      <c r="E49" s="3"/>
      <c r="F49" s="30">
        <v>48</v>
      </c>
      <c r="G49" s="34">
        <f>D187-D186</f>
        <v>0</v>
      </c>
      <c r="H49" s="35">
        <v>0</v>
      </c>
      <c r="I49" s="46" t="s">
        <v>162</v>
      </c>
    </row>
    <row r="50" spans="1:9" x14ac:dyDescent="0.3">
      <c r="A50" s="30">
        <v>10</v>
      </c>
      <c r="B50" s="31">
        <v>11</v>
      </c>
      <c r="C50" s="32">
        <v>1062</v>
      </c>
      <c r="D50" s="33">
        <v>0</v>
      </c>
      <c r="E50" s="3"/>
      <c r="F50" s="30">
        <v>49</v>
      </c>
      <c r="G50" s="34">
        <f>D121-D120+D122-D123+D160-D161</f>
        <v>0</v>
      </c>
      <c r="H50" s="35">
        <v>0</v>
      </c>
      <c r="I50" s="46" t="s">
        <v>163</v>
      </c>
    </row>
    <row r="51" spans="1:9" x14ac:dyDescent="0.3">
      <c r="A51" s="30">
        <v>11</v>
      </c>
      <c r="B51" s="31">
        <v>10</v>
      </c>
      <c r="C51" s="32">
        <v>1062</v>
      </c>
      <c r="D51" s="33">
        <v>0</v>
      </c>
      <c r="E51" s="3"/>
      <c r="F51" s="30">
        <v>50</v>
      </c>
      <c r="G51" s="34">
        <f>D77-D76+D78-D79+D145-D144</f>
        <v>0</v>
      </c>
      <c r="H51" s="35">
        <v>0</v>
      </c>
      <c r="I51" s="46" t="s">
        <v>164</v>
      </c>
    </row>
    <row r="52" spans="1:9" x14ac:dyDescent="0.3">
      <c r="A52" s="30">
        <v>10</v>
      </c>
      <c r="B52" s="31">
        <v>12</v>
      </c>
      <c r="C52" s="32">
        <v>554</v>
      </c>
      <c r="D52" s="33">
        <v>0</v>
      </c>
      <c r="E52" s="3"/>
      <c r="F52" s="30">
        <v>51</v>
      </c>
      <c r="G52" s="34">
        <f>D59-D58+D80-D81+D188-D189</f>
        <v>0</v>
      </c>
      <c r="H52" s="35">
        <v>0</v>
      </c>
      <c r="I52" s="46" t="s">
        <v>165</v>
      </c>
    </row>
    <row r="53" spans="1:9" x14ac:dyDescent="0.3">
      <c r="A53" s="30">
        <v>12</v>
      </c>
      <c r="B53" s="31">
        <v>10</v>
      </c>
      <c r="C53" s="32">
        <v>554</v>
      </c>
      <c r="D53" s="33">
        <v>0</v>
      </c>
      <c r="E53" s="3"/>
      <c r="F53" s="30">
        <v>52</v>
      </c>
      <c r="G53" s="34">
        <f>D79-D78+D94-D95+D178-D179</f>
        <v>0</v>
      </c>
      <c r="H53" s="35">
        <v>0</v>
      </c>
      <c r="I53" s="46" t="s">
        <v>166</v>
      </c>
    </row>
    <row r="54" spans="1:9" x14ac:dyDescent="0.3">
      <c r="A54" s="30">
        <v>11</v>
      </c>
      <c r="B54" s="31">
        <v>12</v>
      </c>
      <c r="C54" s="32">
        <v>1470</v>
      </c>
      <c r="D54" s="33">
        <v>0</v>
      </c>
      <c r="E54" s="3"/>
      <c r="F54" s="30">
        <v>53</v>
      </c>
      <c r="G54" s="34">
        <f>D64-D65+D67-D66+D69-D68</f>
        <v>0</v>
      </c>
      <c r="H54" s="35">
        <v>0</v>
      </c>
      <c r="I54" s="46" t="s">
        <v>188</v>
      </c>
    </row>
    <row r="55" spans="1:9" x14ac:dyDescent="0.3">
      <c r="A55" s="30">
        <v>12</v>
      </c>
      <c r="B55" s="31">
        <v>11</v>
      </c>
      <c r="C55" s="32">
        <v>1470</v>
      </c>
      <c r="D55" s="33">
        <v>0</v>
      </c>
      <c r="E55" s="3"/>
      <c r="F55" s="30">
        <v>54</v>
      </c>
      <c r="G55" s="34">
        <f>D125-D124+D135-D134+D171-D170+D175-D174</f>
        <v>0</v>
      </c>
      <c r="H55" s="35">
        <v>0</v>
      </c>
      <c r="I55" s="46" t="s">
        <v>167</v>
      </c>
    </row>
    <row r="56" spans="1:9" x14ac:dyDescent="0.3">
      <c r="A56" s="30">
        <v>13</v>
      </c>
      <c r="B56" s="31">
        <v>14</v>
      </c>
      <c r="C56" s="32">
        <v>1250</v>
      </c>
      <c r="D56" s="33">
        <v>0</v>
      </c>
      <c r="E56" s="3"/>
      <c r="F56" s="30">
        <v>55</v>
      </c>
      <c r="G56" s="34">
        <f>D138-D139+D179-D178+D189-D188+D191-D190</f>
        <v>0</v>
      </c>
      <c r="H56" s="35">
        <v>0</v>
      </c>
      <c r="I56" s="46" t="s">
        <v>168</v>
      </c>
    </row>
    <row r="57" spans="1:9" x14ac:dyDescent="0.3">
      <c r="A57" s="30">
        <v>14</v>
      </c>
      <c r="B57" s="31">
        <v>13</v>
      </c>
      <c r="C57" s="32">
        <v>1250</v>
      </c>
      <c r="D57" s="33">
        <v>0</v>
      </c>
      <c r="E57" s="3"/>
      <c r="F57" s="30">
        <v>56</v>
      </c>
      <c r="G57" s="34">
        <f>D39-D38+D164-D165+D166-D167</f>
        <v>0</v>
      </c>
      <c r="H57" s="35">
        <v>0</v>
      </c>
      <c r="I57" s="46" t="s">
        <v>169</v>
      </c>
    </row>
    <row r="58" spans="1:9" x14ac:dyDescent="0.3">
      <c r="A58" s="30">
        <v>14</v>
      </c>
      <c r="B58" s="31">
        <v>51</v>
      </c>
      <c r="C58" s="32">
        <v>440</v>
      </c>
      <c r="D58" s="33">
        <v>0</v>
      </c>
      <c r="E58" s="3"/>
      <c r="F58" s="30">
        <v>57</v>
      </c>
      <c r="G58" s="34">
        <f>D33-D32+D34-D35+D82-D83</f>
        <v>0</v>
      </c>
      <c r="H58" s="35">
        <v>0</v>
      </c>
      <c r="I58" s="46" t="s">
        <v>170</v>
      </c>
    </row>
    <row r="59" spans="1:9" x14ac:dyDescent="0.3">
      <c r="A59" s="30">
        <v>51</v>
      </c>
      <c r="B59" s="31">
        <v>14</v>
      </c>
      <c r="C59" s="32">
        <v>440</v>
      </c>
      <c r="D59" s="33">
        <v>0</v>
      </c>
      <c r="E59" s="3"/>
      <c r="F59" s="30">
        <v>58</v>
      </c>
      <c r="G59" s="34">
        <f>D181-D180+D183-D182+D185-D184</f>
        <v>0</v>
      </c>
      <c r="H59" s="35">
        <v>0</v>
      </c>
      <c r="I59" s="46" t="s">
        <v>171</v>
      </c>
    </row>
    <row r="60" spans="1:9" x14ac:dyDescent="0.3">
      <c r="A60" s="30">
        <v>14</v>
      </c>
      <c r="B60" s="31">
        <v>7</v>
      </c>
      <c r="C60" s="32">
        <v>390</v>
      </c>
      <c r="D60" s="33">
        <v>0</v>
      </c>
      <c r="E60" s="3"/>
      <c r="F60" s="30">
        <v>59</v>
      </c>
      <c r="G60" s="34">
        <f>D3-D2+D5-D4+D11-D10</f>
        <v>0</v>
      </c>
      <c r="H60" s="35">
        <v>0</v>
      </c>
      <c r="I60" s="46" t="s">
        <v>172</v>
      </c>
    </row>
    <row r="61" spans="1:9" x14ac:dyDescent="0.3">
      <c r="A61" s="30">
        <v>7</v>
      </c>
      <c r="B61" s="31">
        <v>14</v>
      </c>
      <c r="C61" s="32">
        <v>390</v>
      </c>
      <c r="D61" s="33">
        <v>0</v>
      </c>
      <c r="E61" s="3"/>
      <c r="F61" s="30">
        <v>60</v>
      </c>
      <c r="G61" s="34">
        <f>D10-D11+D13-D12+D84-D85+D90-D91</f>
        <v>0</v>
      </c>
      <c r="H61" s="35">
        <v>0</v>
      </c>
      <c r="I61" s="46" t="s">
        <v>180</v>
      </c>
    </row>
    <row r="62" spans="1:9" ht="15" thickBot="1" x14ac:dyDescent="0.35">
      <c r="A62" s="30">
        <v>1</v>
      </c>
      <c r="B62" s="31">
        <v>26</v>
      </c>
      <c r="C62" s="32">
        <v>276</v>
      </c>
      <c r="D62" s="33">
        <v>0</v>
      </c>
      <c r="E62" s="3"/>
      <c r="F62" s="41">
        <v>61</v>
      </c>
      <c r="G62" s="42">
        <f>D66-D67+D149-D148+D150-D151</f>
        <v>0</v>
      </c>
      <c r="H62" s="43">
        <v>0</v>
      </c>
      <c r="I62" s="47" t="s">
        <v>185</v>
      </c>
    </row>
    <row r="63" spans="1:9" x14ac:dyDescent="0.3">
      <c r="A63" s="30">
        <v>26</v>
      </c>
      <c r="B63" s="31">
        <v>1</v>
      </c>
      <c r="C63" s="32">
        <v>276</v>
      </c>
      <c r="D63" s="33">
        <v>0</v>
      </c>
      <c r="E63" s="3"/>
      <c r="G63" s="1"/>
      <c r="H63" s="3"/>
    </row>
    <row r="64" spans="1:9" x14ac:dyDescent="0.3">
      <c r="A64" s="30">
        <v>53</v>
      </c>
      <c r="B64" s="31">
        <v>8</v>
      </c>
      <c r="C64" s="32">
        <v>190</v>
      </c>
      <c r="D64" s="33">
        <v>0</v>
      </c>
      <c r="E64" s="3"/>
      <c r="G64" s="1"/>
      <c r="H64" s="3"/>
    </row>
    <row r="65" spans="1:9" x14ac:dyDescent="0.3">
      <c r="A65" s="30">
        <v>8</v>
      </c>
      <c r="B65" s="31">
        <v>53</v>
      </c>
      <c r="C65" s="32">
        <v>190</v>
      </c>
      <c r="D65" s="33">
        <v>0</v>
      </c>
      <c r="E65" s="3"/>
      <c r="G65" s="1"/>
      <c r="H65" s="3"/>
    </row>
    <row r="66" spans="1:9" x14ac:dyDescent="0.3">
      <c r="A66" s="55">
        <v>61</v>
      </c>
      <c r="B66" s="56">
        <v>53</v>
      </c>
      <c r="C66" s="61">
        <v>1260</v>
      </c>
      <c r="D66" s="33">
        <v>0</v>
      </c>
      <c r="E66" s="3"/>
      <c r="G66" s="1"/>
      <c r="H66" s="3"/>
    </row>
    <row r="67" spans="1:9" x14ac:dyDescent="0.3">
      <c r="A67" s="30">
        <v>53</v>
      </c>
      <c r="B67" s="31">
        <v>61</v>
      </c>
      <c r="C67" s="40">
        <v>1260</v>
      </c>
      <c r="D67" s="33">
        <v>0</v>
      </c>
      <c r="E67" s="3"/>
      <c r="G67" s="1"/>
      <c r="H67" s="3"/>
    </row>
    <row r="68" spans="1:9" x14ac:dyDescent="0.3">
      <c r="A68" s="55">
        <v>42</v>
      </c>
      <c r="B68" s="56">
        <v>53</v>
      </c>
      <c r="C68" s="61">
        <v>170</v>
      </c>
      <c r="D68" s="33">
        <v>0</v>
      </c>
      <c r="E68" s="3"/>
      <c r="G68" s="1"/>
      <c r="H68" s="3"/>
    </row>
    <row r="69" spans="1:9" x14ac:dyDescent="0.3">
      <c r="A69" s="30">
        <v>53</v>
      </c>
      <c r="B69" s="31">
        <v>42</v>
      </c>
      <c r="C69" s="40">
        <v>170</v>
      </c>
      <c r="D69" s="33">
        <v>0</v>
      </c>
      <c r="E69" s="3"/>
      <c r="F69" s="57"/>
      <c r="G69" s="54"/>
      <c r="H69" s="52"/>
      <c r="I69" s="57"/>
    </row>
    <row r="70" spans="1:9" s="57" customFormat="1" x14ac:dyDescent="0.3">
      <c r="A70" s="30">
        <v>7</v>
      </c>
      <c r="B70" s="31">
        <v>18</v>
      </c>
      <c r="C70" s="32">
        <v>194</v>
      </c>
      <c r="D70" s="33">
        <v>0</v>
      </c>
      <c r="E70" s="52"/>
      <c r="F70"/>
      <c r="G70" s="1"/>
      <c r="H70" s="3"/>
      <c r="I70"/>
    </row>
    <row r="71" spans="1:9" x14ac:dyDescent="0.3">
      <c r="A71" s="30">
        <v>18</v>
      </c>
      <c r="B71" s="31">
        <v>7</v>
      </c>
      <c r="C71" s="32">
        <v>194</v>
      </c>
      <c r="D71" s="33">
        <v>0</v>
      </c>
      <c r="E71" s="3"/>
      <c r="G71" s="1"/>
      <c r="H71" s="3"/>
    </row>
    <row r="72" spans="1:9" x14ac:dyDescent="0.3">
      <c r="A72" s="30">
        <v>42</v>
      </c>
      <c r="B72" s="31">
        <v>27</v>
      </c>
      <c r="C72" s="32">
        <v>674</v>
      </c>
      <c r="D72" s="33">
        <v>0</v>
      </c>
      <c r="E72" s="3"/>
      <c r="G72" s="1"/>
      <c r="H72" s="3"/>
    </row>
    <row r="73" spans="1:9" x14ac:dyDescent="0.3">
      <c r="A73" s="30">
        <v>27</v>
      </c>
      <c r="B73" s="31">
        <v>42</v>
      </c>
      <c r="C73" s="32">
        <v>674</v>
      </c>
      <c r="D73" s="33">
        <v>0</v>
      </c>
      <c r="E73" s="3"/>
      <c r="F73" s="2"/>
      <c r="G73" s="1"/>
      <c r="H73" s="3"/>
      <c r="I73" s="2"/>
    </row>
    <row r="74" spans="1:9" s="2" customFormat="1" x14ac:dyDescent="0.3">
      <c r="A74" s="38">
        <v>18</v>
      </c>
      <c r="B74" s="39">
        <v>17</v>
      </c>
      <c r="C74" s="40">
        <v>268</v>
      </c>
      <c r="D74" s="33">
        <v>0</v>
      </c>
      <c r="E74" s="3"/>
      <c r="G74" s="1"/>
      <c r="H74" s="3"/>
    </row>
    <row r="75" spans="1:9" s="2" customFormat="1" x14ac:dyDescent="0.3">
      <c r="A75" s="38">
        <v>17</v>
      </c>
      <c r="B75" s="39">
        <v>18</v>
      </c>
      <c r="C75" s="40">
        <v>268</v>
      </c>
      <c r="D75" s="33">
        <v>0</v>
      </c>
      <c r="E75" s="3"/>
      <c r="F75"/>
      <c r="G75" s="1"/>
      <c r="H75" s="3"/>
      <c r="I75"/>
    </row>
    <row r="76" spans="1:9" x14ac:dyDescent="0.3">
      <c r="A76" s="30">
        <v>17</v>
      </c>
      <c r="B76" s="31">
        <v>50</v>
      </c>
      <c r="C76" s="32">
        <v>139</v>
      </c>
      <c r="D76" s="33">
        <v>0</v>
      </c>
      <c r="E76" s="3"/>
      <c r="G76" s="1"/>
      <c r="H76" s="3"/>
    </row>
    <row r="77" spans="1:9" x14ac:dyDescent="0.3">
      <c r="A77" s="30">
        <v>50</v>
      </c>
      <c r="B77" s="31">
        <v>17</v>
      </c>
      <c r="C77" s="32">
        <v>139</v>
      </c>
      <c r="D77" s="33">
        <v>0</v>
      </c>
      <c r="E77" s="3"/>
      <c r="G77" s="1"/>
      <c r="H77" s="3"/>
    </row>
    <row r="78" spans="1:9" x14ac:dyDescent="0.3">
      <c r="A78" s="30">
        <v>50</v>
      </c>
      <c r="B78" s="31">
        <v>52</v>
      </c>
      <c r="C78" s="32">
        <v>356</v>
      </c>
      <c r="D78" s="33">
        <v>0</v>
      </c>
      <c r="E78" s="3"/>
      <c r="G78" s="1"/>
      <c r="H78" s="3"/>
    </row>
    <row r="79" spans="1:9" x14ac:dyDescent="0.3">
      <c r="A79" s="30">
        <v>52</v>
      </c>
      <c r="B79" s="31">
        <v>50</v>
      </c>
      <c r="C79" s="32">
        <v>356</v>
      </c>
      <c r="D79" s="33">
        <v>0</v>
      </c>
      <c r="E79" s="3"/>
      <c r="G79" s="1"/>
      <c r="H79" s="3"/>
    </row>
    <row r="80" spans="1:9" x14ac:dyDescent="0.3">
      <c r="A80" s="30">
        <v>51</v>
      </c>
      <c r="B80" s="31">
        <v>18</v>
      </c>
      <c r="C80" s="32">
        <v>326</v>
      </c>
      <c r="D80" s="33">
        <v>0</v>
      </c>
      <c r="E80" s="3"/>
      <c r="G80" s="1"/>
      <c r="H80" s="3"/>
    </row>
    <row r="81" spans="1:8" x14ac:dyDescent="0.3">
      <c r="A81" s="30">
        <v>18</v>
      </c>
      <c r="B81" s="31">
        <v>51</v>
      </c>
      <c r="C81" s="32">
        <v>326</v>
      </c>
      <c r="D81" s="33">
        <v>0</v>
      </c>
      <c r="E81" s="3"/>
      <c r="G81" s="1"/>
      <c r="H81" s="3"/>
    </row>
    <row r="82" spans="1:8" x14ac:dyDescent="0.3">
      <c r="A82" s="30">
        <v>57</v>
      </c>
      <c r="B82" s="31">
        <v>43</v>
      </c>
      <c r="C82" s="32">
        <v>689</v>
      </c>
      <c r="D82" s="33">
        <v>0</v>
      </c>
      <c r="E82" s="3"/>
      <c r="G82" s="1"/>
      <c r="H82" s="3"/>
    </row>
    <row r="83" spans="1:8" x14ac:dyDescent="0.3">
      <c r="A83" s="30">
        <v>43</v>
      </c>
      <c r="B83" s="31">
        <v>57</v>
      </c>
      <c r="C83" s="32">
        <v>689</v>
      </c>
      <c r="D83" s="33">
        <v>0</v>
      </c>
      <c r="E83" s="3"/>
      <c r="G83" s="1"/>
      <c r="H83" s="3"/>
    </row>
    <row r="84" spans="1:8" x14ac:dyDescent="0.3">
      <c r="A84" s="30">
        <v>60</v>
      </c>
      <c r="B84" s="31">
        <v>6</v>
      </c>
      <c r="C84" s="32">
        <v>264</v>
      </c>
      <c r="D84" s="33">
        <v>0</v>
      </c>
      <c r="E84" s="3"/>
      <c r="G84" s="1"/>
      <c r="H84" s="3"/>
    </row>
    <row r="85" spans="1:8" x14ac:dyDescent="0.3">
      <c r="A85" s="30">
        <v>6</v>
      </c>
      <c r="B85" s="31">
        <v>60</v>
      </c>
      <c r="C85" s="32">
        <v>264</v>
      </c>
      <c r="D85" s="33">
        <v>0</v>
      </c>
      <c r="E85" s="3"/>
      <c r="G85" s="1"/>
      <c r="H85" s="3"/>
    </row>
    <row r="86" spans="1:8" x14ac:dyDescent="0.3">
      <c r="A86" s="30">
        <v>6</v>
      </c>
      <c r="B86" s="31">
        <v>1</v>
      </c>
      <c r="C86" s="32">
        <v>438</v>
      </c>
      <c r="D86" s="33">
        <v>0</v>
      </c>
      <c r="E86" s="3"/>
      <c r="G86" s="1"/>
      <c r="H86" s="3"/>
    </row>
    <row r="87" spans="1:8" x14ac:dyDescent="0.3">
      <c r="A87" s="30">
        <v>1</v>
      </c>
      <c r="B87" s="31">
        <v>6</v>
      </c>
      <c r="C87" s="32">
        <v>438</v>
      </c>
      <c r="D87" s="33">
        <v>0</v>
      </c>
      <c r="E87" s="3"/>
      <c r="G87" s="1"/>
      <c r="H87" s="3"/>
    </row>
    <row r="88" spans="1:8" x14ac:dyDescent="0.3">
      <c r="A88" s="30">
        <v>6</v>
      </c>
      <c r="B88" s="31">
        <v>7</v>
      </c>
      <c r="C88" s="32">
        <v>226</v>
      </c>
      <c r="D88" s="33">
        <v>0</v>
      </c>
      <c r="E88" s="3"/>
      <c r="G88" s="1"/>
      <c r="H88" s="3"/>
    </row>
    <row r="89" spans="1:8" x14ac:dyDescent="0.3">
      <c r="A89" s="30">
        <v>7</v>
      </c>
      <c r="B89" s="31">
        <v>6</v>
      </c>
      <c r="C89" s="32">
        <v>226</v>
      </c>
      <c r="D89" s="33">
        <v>0</v>
      </c>
      <c r="E89" s="3"/>
      <c r="G89" s="1"/>
      <c r="H89" s="3"/>
    </row>
    <row r="90" spans="1:8" x14ac:dyDescent="0.3">
      <c r="A90" s="30">
        <v>60</v>
      </c>
      <c r="B90" s="31">
        <v>43</v>
      </c>
      <c r="C90" s="32">
        <v>287</v>
      </c>
      <c r="D90" s="33">
        <v>0</v>
      </c>
      <c r="E90" s="3"/>
      <c r="G90" s="1"/>
      <c r="H90" s="3"/>
    </row>
    <row r="91" spans="1:8" x14ac:dyDescent="0.3">
      <c r="A91" s="30">
        <v>43</v>
      </c>
      <c r="B91" s="31">
        <v>60</v>
      </c>
      <c r="C91" s="32">
        <v>287</v>
      </c>
      <c r="D91" s="33">
        <v>0</v>
      </c>
      <c r="E91" s="3"/>
      <c r="G91" s="1"/>
      <c r="H91" s="3"/>
    </row>
    <row r="92" spans="1:8" x14ac:dyDescent="0.3">
      <c r="A92" s="30">
        <v>13</v>
      </c>
      <c r="B92" s="31">
        <v>15</v>
      </c>
      <c r="C92" s="32">
        <v>1812</v>
      </c>
      <c r="D92" s="33">
        <v>0</v>
      </c>
      <c r="E92" s="3"/>
      <c r="G92" s="1"/>
      <c r="H92" s="3"/>
    </row>
    <row r="93" spans="1:8" x14ac:dyDescent="0.3">
      <c r="A93" s="30">
        <v>15</v>
      </c>
      <c r="B93" s="31">
        <v>13</v>
      </c>
      <c r="C93" s="32">
        <v>1812</v>
      </c>
      <c r="D93" s="33">
        <v>0</v>
      </c>
      <c r="E93" s="3"/>
      <c r="G93" s="1"/>
      <c r="H93" s="3"/>
    </row>
    <row r="94" spans="1:8" x14ac:dyDescent="0.3">
      <c r="A94" s="30">
        <v>52</v>
      </c>
      <c r="B94" s="31">
        <v>16</v>
      </c>
      <c r="C94" s="32">
        <v>220</v>
      </c>
      <c r="D94" s="33">
        <v>0</v>
      </c>
      <c r="E94" s="3"/>
      <c r="G94" s="1"/>
      <c r="H94" s="3"/>
    </row>
    <row r="95" spans="1:8" x14ac:dyDescent="0.3">
      <c r="A95" s="30">
        <v>16</v>
      </c>
      <c r="B95" s="31">
        <v>52</v>
      </c>
      <c r="C95" s="32">
        <v>220</v>
      </c>
      <c r="D95" s="33">
        <v>0</v>
      </c>
      <c r="E95" s="3"/>
      <c r="G95" s="1"/>
      <c r="H95" s="3"/>
    </row>
    <row r="96" spans="1:8" x14ac:dyDescent="0.3">
      <c r="A96" s="30">
        <v>16</v>
      </c>
      <c r="B96" s="31">
        <v>15</v>
      </c>
      <c r="C96" s="32">
        <v>1310</v>
      </c>
      <c r="D96" s="33">
        <v>0</v>
      </c>
      <c r="E96" s="3"/>
      <c r="G96" s="1"/>
      <c r="H96" s="3"/>
    </row>
    <row r="97" spans="1:9" x14ac:dyDescent="0.3">
      <c r="A97" s="30">
        <v>15</v>
      </c>
      <c r="B97" s="31">
        <v>16</v>
      </c>
      <c r="C97" s="32">
        <v>1310</v>
      </c>
      <c r="D97" s="33">
        <v>0</v>
      </c>
      <c r="E97" s="3"/>
      <c r="G97" s="1"/>
      <c r="H97" s="3"/>
    </row>
    <row r="98" spans="1:9" x14ac:dyDescent="0.3">
      <c r="A98" s="30">
        <v>15</v>
      </c>
      <c r="B98" s="31">
        <v>21</v>
      </c>
      <c r="C98" s="32">
        <v>1170</v>
      </c>
      <c r="D98" s="33">
        <v>0</v>
      </c>
      <c r="E98" s="3"/>
      <c r="G98" s="1"/>
      <c r="H98" s="3"/>
    </row>
    <row r="99" spans="1:9" x14ac:dyDescent="0.3">
      <c r="A99" s="30">
        <v>21</v>
      </c>
      <c r="B99" s="31">
        <v>15</v>
      </c>
      <c r="C99" s="32">
        <v>1170</v>
      </c>
      <c r="D99" s="33">
        <v>0</v>
      </c>
      <c r="E99" s="3"/>
      <c r="G99" s="1"/>
      <c r="H99" s="3"/>
    </row>
    <row r="100" spans="1:9" x14ac:dyDescent="0.3">
      <c r="A100" s="30">
        <v>21</v>
      </c>
      <c r="B100" s="31">
        <v>20</v>
      </c>
      <c r="C100" s="32">
        <v>1080</v>
      </c>
      <c r="D100" s="33">
        <v>0</v>
      </c>
      <c r="E100" s="3"/>
      <c r="G100" s="1"/>
      <c r="H100" s="3"/>
    </row>
    <row r="101" spans="1:9" x14ac:dyDescent="0.3">
      <c r="A101" s="30">
        <v>20</v>
      </c>
      <c r="B101" s="31">
        <v>21</v>
      </c>
      <c r="C101" s="32">
        <v>1080</v>
      </c>
      <c r="D101" s="33">
        <v>0</v>
      </c>
      <c r="E101" s="3"/>
    </row>
    <row r="102" spans="1:9" x14ac:dyDescent="0.3">
      <c r="A102" s="30">
        <v>20</v>
      </c>
      <c r="B102" s="31">
        <v>45</v>
      </c>
      <c r="C102" s="32">
        <v>226</v>
      </c>
      <c r="D102" s="33">
        <v>0</v>
      </c>
      <c r="E102" s="3"/>
    </row>
    <row r="103" spans="1:9" x14ac:dyDescent="0.3">
      <c r="A103" s="30">
        <v>45</v>
      </c>
      <c r="B103" s="31">
        <v>20</v>
      </c>
      <c r="C103" s="32">
        <v>226</v>
      </c>
      <c r="D103" s="33">
        <v>0</v>
      </c>
      <c r="E103" s="3"/>
    </row>
    <row r="104" spans="1:9" x14ac:dyDescent="0.3">
      <c r="A104" s="30">
        <v>20</v>
      </c>
      <c r="B104" s="31">
        <v>44</v>
      </c>
      <c r="C104" s="32">
        <v>228</v>
      </c>
      <c r="D104" s="33">
        <v>0</v>
      </c>
      <c r="E104" s="3"/>
    </row>
    <row r="105" spans="1:9" x14ac:dyDescent="0.3">
      <c r="A105" s="48">
        <v>44</v>
      </c>
      <c r="B105" s="49">
        <v>20</v>
      </c>
      <c r="C105" s="50">
        <v>228</v>
      </c>
      <c r="D105" s="51">
        <v>0</v>
      </c>
      <c r="E105" s="3"/>
    </row>
    <row r="106" spans="1:9" x14ac:dyDescent="0.3">
      <c r="A106" s="48">
        <v>44</v>
      </c>
      <c r="B106" s="49">
        <v>45</v>
      </c>
      <c r="C106" s="50">
        <v>145</v>
      </c>
      <c r="D106" s="51">
        <v>0</v>
      </c>
      <c r="E106" s="3"/>
      <c r="F106" s="53"/>
      <c r="G106" s="53"/>
      <c r="H106" s="53"/>
      <c r="I106" s="53"/>
    </row>
    <row r="107" spans="1:9" s="53" customFormat="1" x14ac:dyDescent="0.3">
      <c r="A107" s="30">
        <v>45</v>
      </c>
      <c r="B107" s="31">
        <v>44</v>
      </c>
      <c r="C107" s="32">
        <v>145</v>
      </c>
      <c r="D107" s="33">
        <v>0</v>
      </c>
      <c r="E107" s="52"/>
    </row>
    <row r="108" spans="1:9" s="53" customFormat="1" x14ac:dyDescent="0.3">
      <c r="A108" s="30">
        <v>45</v>
      </c>
      <c r="B108" s="31">
        <v>22</v>
      </c>
      <c r="C108" s="32">
        <v>1010</v>
      </c>
      <c r="D108" s="33">
        <v>0</v>
      </c>
      <c r="E108" s="52"/>
      <c r="F108"/>
      <c r="G108"/>
      <c r="H108"/>
      <c r="I108"/>
    </row>
    <row r="109" spans="1:9" x14ac:dyDescent="0.3">
      <c r="A109" s="30">
        <v>22</v>
      </c>
      <c r="B109" s="31">
        <v>45</v>
      </c>
      <c r="C109" s="32">
        <v>1010</v>
      </c>
      <c r="D109" s="33">
        <v>0</v>
      </c>
      <c r="E109" s="3"/>
    </row>
    <row r="110" spans="1:9" x14ac:dyDescent="0.3">
      <c r="A110" s="30">
        <v>44</v>
      </c>
      <c r="B110" s="31">
        <v>19</v>
      </c>
      <c r="C110" s="32">
        <v>1250</v>
      </c>
      <c r="D110" s="33">
        <v>0</v>
      </c>
      <c r="E110" s="3"/>
    </row>
    <row r="111" spans="1:9" x14ac:dyDescent="0.3">
      <c r="A111" s="30">
        <v>19</v>
      </c>
      <c r="B111" s="31">
        <v>44</v>
      </c>
      <c r="C111" s="32">
        <v>1250</v>
      </c>
      <c r="D111" s="33">
        <v>0</v>
      </c>
      <c r="E111" s="3"/>
    </row>
    <row r="112" spans="1:9" x14ac:dyDescent="0.3">
      <c r="A112" s="30">
        <v>19</v>
      </c>
      <c r="B112" s="31">
        <v>22</v>
      </c>
      <c r="C112" s="32">
        <v>547</v>
      </c>
      <c r="D112" s="33">
        <v>0</v>
      </c>
      <c r="E112" s="3"/>
    </row>
    <row r="113" spans="1:5" x14ac:dyDescent="0.3">
      <c r="A113" s="30">
        <v>22</v>
      </c>
      <c r="B113" s="31">
        <v>19</v>
      </c>
      <c r="C113" s="32">
        <v>547</v>
      </c>
      <c r="D113" s="33">
        <v>0</v>
      </c>
      <c r="E113" s="3"/>
    </row>
    <row r="114" spans="1:5" x14ac:dyDescent="0.3">
      <c r="A114" s="30">
        <v>22</v>
      </c>
      <c r="B114" s="31">
        <v>32</v>
      </c>
      <c r="C114" s="32">
        <v>300</v>
      </c>
      <c r="D114" s="33">
        <v>0</v>
      </c>
      <c r="E114" s="3"/>
    </row>
    <row r="115" spans="1:5" x14ac:dyDescent="0.3">
      <c r="A115" s="30">
        <v>32</v>
      </c>
      <c r="B115" s="31">
        <v>22</v>
      </c>
      <c r="C115" s="32">
        <v>300</v>
      </c>
      <c r="D115" s="33">
        <v>0</v>
      </c>
      <c r="E115" s="3"/>
    </row>
    <row r="116" spans="1:5" x14ac:dyDescent="0.3">
      <c r="A116" s="30">
        <v>19</v>
      </c>
      <c r="B116" s="31">
        <v>34</v>
      </c>
      <c r="C116" s="32">
        <v>300</v>
      </c>
      <c r="D116" s="33">
        <v>0</v>
      </c>
      <c r="E116" s="3"/>
    </row>
    <row r="117" spans="1:5" x14ac:dyDescent="0.3">
      <c r="A117" s="30">
        <v>34</v>
      </c>
      <c r="B117" s="31">
        <v>19</v>
      </c>
      <c r="C117" s="32">
        <v>300</v>
      </c>
      <c r="D117" s="33">
        <v>0</v>
      </c>
      <c r="E117" s="3"/>
    </row>
    <row r="118" spans="1:5" x14ac:dyDescent="0.3">
      <c r="A118" s="30">
        <v>32</v>
      </c>
      <c r="B118" s="31">
        <v>23</v>
      </c>
      <c r="C118" s="32">
        <v>963</v>
      </c>
      <c r="D118" s="33">
        <v>0</v>
      </c>
      <c r="E118" s="3"/>
    </row>
    <row r="119" spans="1:5" x14ac:dyDescent="0.3">
      <c r="A119" s="30">
        <v>23</v>
      </c>
      <c r="B119" s="31">
        <v>32</v>
      </c>
      <c r="C119" s="32">
        <v>963</v>
      </c>
      <c r="D119" s="33">
        <v>0</v>
      </c>
      <c r="E119" s="3"/>
    </row>
    <row r="120" spans="1:5" x14ac:dyDescent="0.3">
      <c r="A120" s="30">
        <v>23</v>
      </c>
      <c r="B120" s="31">
        <v>49</v>
      </c>
      <c r="C120" s="32">
        <v>538</v>
      </c>
      <c r="D120" s="33">
        <v>0</v>
      </c>
      <c r="E120" s="3"/>
    </row>
    <row r="121" spans="1:5" x14ac:dyDescent="0.3">
      <c r="A121" s="30">
        <v>49</v>
      </c>
      <c r="B121" s="31">
        <v>23</v>
      </c>
      <c r="C121" s="32">
        <v>538</v>
      </c>
      <c r="D121" s="33">
        <v>0</v>
      </c>
      <c r="E121" s="3"/>
    </row>
    <row r="122" spans="1:5" x14ac:dyDescent="0.3">
      <c r="A122" s="30">
        <v>49</v>
      </c>
      <c r="B122" s="31">
        <v>24</v>
      </c>
      <c r="C122" s="32">
        <v>421</v>
      </c>
      <c r="D122" s="33">
        <v>0</v>
      </c>
      <c r="E122" s="3"/>
    </row>
    <row r="123" spans="1:5" x14ac:dyDescent="0.3">
      <c r="A123" s="30">
        <v>24</v>
      </c>
      <c r="B123" s="31">
        <v>49</v>
      </c>
      <c r="C123" s="32">
        <v>421</v>
      </c>
      <c r="D123" s="33">
        <v>0</v>
      </c>
      <c r="E123" s="3"/>
    </row>
    <row r="124" spans="1:5" x14ac:dyDescent="0.3">
      <c r="A124" s="30">
        <v>34</v>
      </c>
      <c r="B124" s="31">
        <v>54</v>
      </c>
      <c r="C124" s="32">
        <v>762</v>
      </c>
      <c r="D124" s="33">
        <v>0</v>
      </c>
      <c r="E124" s="3"/>
    </row>
    <row r="125" spans="1:5" x14ac:dyDescent="0.3">
      <c r="A125" s="30">
        <v>54</v>
      </c>
      <c r="B125" s="31">
        <v>34</v>
      </c>
      <c r="C125" s="32">
        <v>762</v>
      </c>
      <c r="D125" s="33">
        <v>0</v>
      </c>
      <c r="E125" s="3"/>
    </row>
    <row r="126" spans="1:5" x14ac:dyDescent="0.3">
      <c r="A126" s="30">
        <v>24</v>
      </c>
      <c r="B126" s="31">
        <v>25</v>
      </c>
      <c r="C126" s="32">
        <v>854</v>
      </c>
      <c r="D126" s="33">
        <v>0</v>
      </c>
      <c r="E126" s="3"/>
    </row>
    <row r="127" spans="1:5" x14ac:dyDescent="0.3">
      <c r="A127" s="30">
        <v>25</v>
      </c>
      <c r="B127" s="31">
        <v>24</v>
      </c>
      <c r="C127" s="32">
        <v>854</v>
      </c>
      <c r="D127" s="33">
        <v>0</v>
      </c>
      <c r="E127" s="3"/>
    </row>
    <row r="128" spans="1:5" x14ac:dyDescent="0.3">
      <c r="A128" s="30">
        <v>25</v>
      </c>
      <c r="B128" s="31">
        <v>37</v>
      </c>
      <c r="C128" s="32">
        <v>247</v>
      </c>
      <c r="D128" s="33">
        <v>0</v>
      </c>
      <c r="E128" s="3"/>
    </row>
    <row r="129" spans="1:9" x14ac:dyDescent="0.3">
      <c r="A129" s="30">
        <v>37</v>
      </c>
      <c r="B129" s="31">
        <v>25</v>
      </c>
      <c r="C129" s="32">
        <v>247</v>
      </c>
      <c r="D129" s="33">
        <v>0</v>
      </c>
      <c r="E129" s="3"/>
    </row>
    <row r="130" spans="1:9" x14ac:dyDescent="0.3">
      <c r="A130" s="30">
        <v>37</v>
      </c>
      <c r="B130" s="31">
        <v>38</v>
      </c>
      <c r="C130" s="32">
        <v>435</v>
      </c>
      <c r="D130" s="33">
        <v>0</v>
      </c>
      <c r="E130" s="3"/>
    </row>
    <row r="131" spans="1:9" x14ac:dyDescent="0.3">
      <c r="A131" s="30">
        <v>38</v>
      </c>
      <c r="B131" s="31">
        <v>37</v>
      </c>
      <c r="C131" s="32">
        <v>435</v>
      </c>
      <c r="D131" s="33">
        <v>0</v>
      </c>
      <c r="E131" s="3"/>
    </row>
    <row r="132" spans="1:9" x14ac:dyDescent="0.3">
      <c r="A132" s="30">
        <v>37</v>
      </c>
      <c r="B132" s="31">
        <v>26</v>
      </c>
      <c r="C132" s="32">
        <v>208</v>
      </c>
      <c r="D132" s="33">
        <v>0</v>
      </c>
      <c r="E132" s="3"/>
    </row>
    <row r="133" spans="1:9" x14ac:dyDescent="0.3">
      <c r="A133" s="30">
        <v>26</v>
      </c>
      <c r="B133" s="31">
        <v>37</v>
      </c>
      <c r="C133" s="32">
        <v>208</v>
      </c>
      <c r="D133" s="33">
        <v>0</v>
      </c>
      <c r="E133" s="3"/>
    </row>
    <row r="134" spans="1:9" x14ac:dyDescent="0.3">
      <c r="A134" s="30">
        <v>26</v>
      </c>
      <c r="B134" s="31">
        <v>54</v>
      </c>
      <c r="C134" s="32">
        <v>382</v>
      </c>
      <c r="D134" s="33">
        <v>0</v>
      </c>
      <c r="E134" s="3"/>
    </row>
    <row r="135" spans="1:9" x14ac:dyDescent="0.3">
      <c r="A135" s="30">
        <v>54</v>
      </c>
      <c r="B135" s="31">
        <v>26</v>
      </c>
      <c r="C135" s="32">
        <v>382</v>
      </c>
      <c r="D135" s="33">
        <v>0</v>
      </c>
      <c r="E135" s="3"/>
    </row>
    <row r="136" spans="1:9" x14ac:dyDescent="0.3">
      <c r="A136" s="30">
        <v>26</v>
      </c>
      <c r="B136" s="31">
        <v>33</v>
      </c>
      <c r="C136" s="40">
        <v>400</v>
      </c>
      <c r="D136" s="33">
        <v>0</v>
      </c>
      <c r="E136" s="3"/>
    </row>
    <row r="137" spans="1:9" x14ac:dyDescent="0.3">
      <c r="A137" s="30">
        <v>33</v>
      </c>
      <c r="B137" s="31">
        <v>26</v>
      </c>
      <c r="C137" s="40">
        <v>400</v>
      </c>
      <c r="D137" s="33">
        <v>0</v>
      </c>
      <c r="E137" s="3"/>
    </row>
    <row r="138" spans="1:9" x14ac:dyDescent="0.3">
      <c r="A138" s="30">
        <v>55</v>
      </c>
      <c r="B138" s="31">
        <v>17</v>
      </c>
      <c r="C138" s="32">
        <v>376</v>
      </c>
      <c r="D138" s="33">
        <v>0</v>
      </c>
      <c r="E138" s="3"/>
    </row>
    <row r="139" spans="1:9" x14ac:dyDescent="0.3">
      <c r="A139" s="30">
        <v>17</v>
      </c>
      <c r="B139" s="31">
        <v>55</v>
      </c>
      <c r="C139" s="32">
        <v>376</v>
      </c>
      <c r="D139" s="33">
        <v>0</v>
      </c>
      <c r="E139" s="3"/>
      <c r="F139" s="2"/>
      <c r="G139" s="2"/>
      <c r="H139" s="2"/>
      <c r="I139" s="2"/>
    </row>
    <row r="140" spans="1:9" s="2" customFormat="1" x14ac:dyDescent="0.3">
      <c r="A140" s="38">
        <v>17</v>
      </c>
      <c r="B140" s="39">
        <v>33</v>
      </c>
      <c r="C140" s="40">
        <v>210</v>
      </c>
      <c r="D140" s="33">
        <v>0</v>
      </c>
      <c r="E140" s="3"/>
    </row>
    <row r="141" spans="1:9" s="2" customFormat="1" x14ac:dyDescent="0.3">
      <c r="A141" s="38">
        <v>33</v>
      </c>
      <c r="B141" s="39">
        <v>17</v>
      </c>
      <c r="C141" s="40">
        <v>210</v>
      </c>
      <c r="D141" s="33">
        <v>0</v>
      </c>
      <c r="E141" s="3"/>
      <c r="F141"/>
      <c r="G141"/>
      <c r="H141"/>
      <c r="I141"/>
    </row>
    <row r="142" spans="1:9" x14ac:dyDescent="0.3">
      <c r="A142" s="30">
        <v>33</v>
      </c>
      <c r="B142" s="31">
        <v>34</v>
      </c>
      <c r="C142" s="40">
        <v>729</v>
      </c>
      <c r="D142" s="33">
        <v>0</v>
      </c>
      <c r="E142" s="3"/>
    </row>
    <row r="143" spans="1:9" x14ac:dyDescent="0.3">
      <c r="A143" s="30">
        <v>34</v>
      </c>
      <c r="B143" s="31">
        <v>33</v>
      </c>
      <c r="C143" s="40">
        <v>729</v>
      </c>
      <c r="D143" s="33">
        <v>0</v>
      </c>
      <c r="E143" s="3"/>
    </row>
    <row r="144" spans="1:9" x14ac:dyDescent="0.3">
      <c r="A144" s="30">
        <v>34</v>
      </c>
      <c r="B144" s="31">
        <v>50</v>
      </c>
      <c r="C144" s="40">
        <v>618</v>
      </c>
      <c r="D144" s="33">
        <v>0</v>
      </c>
      <c r="E144" s="3"/>
    </row>
    <row r="145" spans="1:5" x14ac:dyDescent="0.3">
      <c r="A145" s="30">
        <v>50</v>
      </c>
      <c r="B145" s="31">
        <v>34</v>
      </c>
      <c r="C145" s="40">
        <v>618</v>
      </c>
      <c r="D145" s="33">
        <v>0</v>
      </c>
      <c r="E145" s="3"/>
    </row>
    <row r="146" spans="1:5" x14ac:dyDescent="0.3">
      <c r="A146" s="30">
        <v>36</v>
      </c>
      <c r="B146" s="31">
        <v>43</v>
      </c>
      <c r="C146" s="40">
        <v>432</v>
      </c>
      <c r="D146" s="33">
        <v>0</v>
      </c>
      <c r="E146" s="3"/>
    </row>
    <row r="147" spans="1:5" x14ac:dyDescent="0.3">
      <c r="A147" s="30">
        <v>43</v>
      </c>
      <c r="B147" s="31">
        <v>36</v>
      </c>
      <c r="C147" s="40">
        <v>432</v>
      </c>
      <c r="D147" s="33">
        <v>0</v>
      </c>
      <c r="E147" s="3"/>
    </row>
    <row r="148" spans="1:5" x14ac:dyDescent="0.3">
      <c r="A148" s="30">
        <v>43</v>
      </c>
      <c r="B148" s="31">
        <v>61</v>
      </c>
      <c r="C148" s="40">
        <v>258</v>
      </c>
      <c r="D148" s="33">
        <v>0</v>
      </c>
      <c r="E148" s="3"/>
    </row>
    <row r="149" spans="1:5" x14ac:dyDescent="0.3">
      <c r="A149" s="30">
        <v>61</v>
      </c>
      <c r="B149" s="31">
        <v>43</v>
      </c>
      <c r="C149" s="40">
        <v>258</v>
      </c>
      <c r="D149" s="33">
        <v>0</v>
      </c>
      <c r="E149" s="3"/>
    </row>
    <row r="150" spans="1:5" x14ac:dyDescent="0.3">
      <c r="A150" s="30">
        <v>61</v>
      </c>
      <c r="B150" s="31">
        <v>6</v>
      </c>
      <c r="C150" s="40">
        <v>493</v>
      </c>
      <c r="D150" s="33">
        <v>0</v>
      </c>
      <c r="E150" s="3"/>
    </row>
    <row r="151" spans="1:5" x14ac:dyDescent="0.3">
      <c r="A151" s="30">
        <v>6</v>
      </c>
      <c r="B151" s="31">
        <v>61</v>
      </c>
      <c r="C151" s="40">
        <v>493</v>
      </c>
      <c r="D151" s="33">
        <v>0</v>
      </c>
      <c r="E151" s="3"/>
    </row>
    <row r="152" spans="1:5" x14ac:dyDescent="0.3">
      <c r="A152" s="30">
        <v>28</v>
      </c>
      <c r="B152" s="31">
        <v>27</v>
      </c>
      <c r="C152" s="32">
        <v>771</v>
      </c>
      <c r="D152" s="33">
        <v>0</v>
      </c>
      <c r="E152" s="3"/>
    </row>
    <row r="153" spans="1:5" x14ac:dyDescent="0.3">
      <c r="A153" s="30">
        <v>27</v>
      </c>
      <c r="B153" s="31">
        <v>28</v>
      </c>
      <c r="C153" s="32">
        <v>771</v>
      </c>
      <c r="D153" s="33">
        <v>0</v>
      </c>
      <c r="E153" s="3"/>
    </row>
    <row r="154" spans="1:5" x14ac:dyDescent="0.3">
      <c r="A154" s="30">
        <v>27</v>
      </c>
      <c r="B154" s="31">
        <v>9</v>
      </c>
      <c r="C154" s="32">
        <v>1060</v>
      </c>
      <c r="D154" s="33">
        <v>0</v>
      </c>
      <c r="E154" s="3"/>
    </row>
    <row r="155" spans="1:5" x14ac:dyDescent="0.3">
      <c r="A155" s="30">
        <v>9</v>
      </c>
      <c r="B155" s="31">
        <v>27</v>
      </c>
      <c r="C155" s="32">
        <v>1060</v>
      </c>
      <c r="D155" s="33">
        <v>0</v>
      </c>
      <c r="E155" s="3"/>
    </row>
    <row r="156" spans="1:5" x14ac:dyDescent="0.3">
      <c r="A156" s="30">
        <v>27</v>
      </c>
      <c r="B156" s="31">
        <v>8</v>
      </c>
      <c r="C156" s="32">
        <v>658</v>
      </c>
      <c r="D156" s="33">
        <v>0</v>
      </c>
      <c r="E156" s="3"/>
    </row>
    <row r="157" spans="1:5" x14ac:dyDescent="0.3">
      <c r="A157" s="30">
        <v>8</v>
      </c>
      <c r="B157" s="31">
        <v>27</v>
      </c>
      <c r="C157" s="32">
        <v>658</v>
      </c>
      <c r="D157" s="33">
        <v>0</v>
      </c>
      <c r="E157" s="3"/>
    </row>
    <row r="158" spans="1:5" x14ac:dyDescent="0.3">
      <c r="A158" s="30">
        <v>8</v>
      </c>
      <c r="B158" s="31">
        <v>7</v>
      </c>
      <c r="C158" s="32">
        <v>1570</v>
      </c>
      <c r="D158" s="33">
        <v>0</v>
      </c>
      <c r="E158" s="3"/>
    </row>
    <row r="159" spans="1:5" x14ac:dyDescent="0.3">
      <c r="A159" s="30">
        <v>7</v>
      </c>
      <c r="B159" s="31">
        <v>8</v>
      </c>
      <c r="C159" s="32">
        <v>1570</v>
      </c>
      <c r="D159" s="33">
        <v>0</v>
      </c>
      <c r="E159" s="3"/>
    </row>
    <row r="160" spans="1:5" x14ac:dyDescent="0.3">
      <c r="A160" s="30">
        <v>49</v>
      </c>
      <c r="B160" s="31">
        <v>47</v>
      </c>
      <c r="C160" s="32">
        <v>885</v>
      </c>
      <c r="D160" s="33">
        <v>0</v>
      </c>
      <c r="E160" s="3"/>
    </row>
    <row r="161" spans="1:5" x14ac:dyDescent="0.3">
      <c r="A161" s="30">
        <v>47</v>
      </c>
      <c r="B161" s="31">
        <v>49</v>
      </c>
      <c r="C161" s="32">
        <v>885</v>
      </c>
      <c r="D161" s="33">
        <v>0</v>
      </c>
      <c r="E161" s="3"/>
    </row>
    <row r="162" spans="1:5" x14ac:dyDescent="0.3">
      <c r="A162" s="30">
        <v>47</v>
      </c>
      <c r="B162" s="31">
        <v>24</v>
      </c>
      <c r="C162" s="32">
        <v>618</v>
      </c>
      <c r="D162" s="33">
        <v>0</v>
      </c>
      <c r="E162" s="3"/>
    </row>
    <row r="163" spans="1:5" x14ac:dyDescent="0.3">
      <c r="A163" s="30">
        <v>24</v>
      </c>
      <c r="B163" s="31">
        <v>47</v>
      </c>
      <c r="C163" s="32">
        <v>618</v>
      </c>
      <c r="D163" s="33">
        <v>0</v>
      </c>
      <c r="E163" s="3"/>
    </row>
    <row r="164" spans="1:5" x14ac:dyDescent="0.3">
      <c r="A164" s="30">
        <v>56</v>
      </c>
      <c r="B164" s="31">
        <v>46</v>
      </c>
      <c r="C164" s="32">
        <v>1370</v>
      </c>
      <c r="D164" s="33">
        <v>0</v>
      </c>
      <c r="E164" s="3"/>
    </row>
    <row r="165" spans="1:5" x14ac:dyDescent="0.3">
      <c r="A165" s="30">
        <v>46</v>
      </c>
      <c r="B165" s="31">
        <v>56</v>
      </c>
      <c r="C165" s="32">
        <v>1370</v>
      </c>
      <c r="D165" s="33">
        <v>0</v>
      </c>
      <c r="E165" s="3"/>
    </row>
    <row r="166" spans="1:5" x14ac:dyDescent="0.3">
      <c r="A166" s="30">
        <v>56</v>
      </c>
      <c r="B166" s="31">
        <v>30</v>
      </c>
      <c r="C166" s="32">
        <v>2120</v>
      </c>
      <c r="D166" s="33">
        <v>0</v>
      </c>
      <c r="E166" s="3"/>
    </row>
    <row r="167" spans="1:5" x14ac:dyDescent="0.3">
      <c r="A167" s="30">
        <v>30</v>
      </c>
      <c r="B167" s="31">
        <v>56</v>
      </c>
      <c r="C167" s="32">
        <v>2120</v>
      </c>
      <c r="D167" s="33">
        <v>0</v>
      </c>
      <c r="E167" s="3"/>
    </row>
    <row r="168" spans="1:5" x14ac:dyDescent="0.3">
      <c r="A168" s="30">
        <v>2</v>
      </c>
      <c r="B168" s="31">
        <v>39</v>
      </c>
      <c r="C168" s="32">
        <v>520</v>
      </c>
      <c r="D168" s="33">
        <v>0</v>
      </c>
      <c r="E168" s="3"/>
    </row>
    <row r="169" spans="1:5" x14ac:dyDescent="0.3">
      <c r="A169" s="30">
        <v>39</v>
      </c>
      <c r="B169" s="31">
        <v>2</v>
      </c>
      <c r="C169" s="32">
        <v>520</v>
      </c>
      <c r="D169" s="33">
        <v>0</v>
      </c>
      <c r="E169" s="3"/>
    </row>
    <row r="170" spans="1:5" x14ac:dyDescent="0.3">
      <c r="A170" s="30">
        <v>24</v>
      </c>
      <c r="B170" s="31">
        <v>54</v>
      </c>
      <c r="C170" s="32">
        <v>1410</v>
      </c>
      <c r="D170" s="33">
        <v>0</v>
      </c>
      <c r="E170" s="3"/>
    </row>
    <row r="171" spans="1:5" x14ac:dyDescent="0.3">
      <c r="A171" s="30">
        <v>54</v>
      </c>
      <c r="B171" s="31">
        <v>24</v>
      </c>
      <c r="C171" s="32">
        <v>1410</v>
      </c>
      <c r="D171" s="33">
        <v>0</v>
      </c>
      <c r="E171" s="3"/>
    </row>
    <row r="172" spans="1:5" x14ac:dyDescent="0.3">
      <c r="A172" s="30">
        <v>24</v>
      </c>
      <c r="B172" s="31">
        <v>32</v>
      </c>
      <c r="C172" s="32">
        <v>1530</v>
      </c>
      <c r="D172" s="33">
        <v>0</v>
      </c>
      <c r="E172" s="3"/>
    </row>
    <row r="173" spans="1:5" x14ac:dyDescent="0.3">
      <c r="A173" s="30">
        <v>32</v>
      </c>
      <c r="B173" s="31">
        <v>24</v>
      </c>
      <c r="C173" s="32">
        <v>1530</v>
      </c>
      <c r="D173" s="33">
        <v>0</v>
      </c>
      <c r="E173" s="3"/>
    </row>
    <row r="174" spans="1:5" x14ac:dyDescent="0.3">
      <c r="A174" s="30">
        <v>32</v>
      </c>
      <c r="B174" s="31">
        <v>54</v>
      </c>
      <c r="C174" s="32">
        <v>777</v>
      </c>
      <c r="D174" s="33">
        <v>0</v>
      </c>
      <c r="E174" s="3"/>
    </row>
    <row r="175" spans="1:5" x14ac:dyDescent="0.3">
      <c r="A175" s="30">
        <v>54</v>
      </c>
      <c r="B175" s="31">
        <v>32</v>
      </c>
      <c r="C175" s="32">
        <v>777</v>
      </c>
      <c r="D175" s="33">
        <v>0</v>
      </c>
      <c r="E175" s="3"/>
    </row>
    <row r="176" spans="1:5" x14ac:dyDescent="0.3">
      <c r="A176" s="30">
        <v>32</v>
      </c>
      <c r="B176" s="31">
        <v>34</v>
      </c>
      <c r="C176" s="40">
        <v>550</v>
      </c>
      <c r="D176" s="33">
        <v>0</v>
      </c>
      <c r="E176" s="3"/>
    </row>
    <row r="177" spans="1:5" x14ac:dyDescent="0.3">
      <c r="A177" s="30">
        <v>34</v>
      </c>
      <c r="B177" s="31">
        <v>32</v>
      </c>
      <c r="C177" s="40">
        <v>550</v>
      </c>
      <c r="D177" s="33">
        <v>0</v>
      </c>
      <c r="E177" s="3"/>
    </row>
    <row r="178" spans="1:5" x14ac:dyDescent="0.3">
      <c r="A178" s="30">
        <v>52</v>
      </c>
      <c r="B178" s="31">
        <v>55</v>
      </c>
      <c r="C178" s="32">
        <v>125</v>
      </c>
      <c r="D178" s="33">
        <v>0</v>
      </c>
      <c r="E178" s="3"/>
    </row>
    <row r="179" spans="1:5" x14ac:dyDescent="0.3">
      <c r="A179" s="30">
        <v>55</v>
      </c>
      <c r="B179" s="31">
        <v>52</v>
      </c>
      <c r="C179" s="32">
        <v>125</v>
      </c>
      <c r="D179" s="33">
        <v>0</v>
      </c>
      <c r="E179" s="3"/>
    </row>
    <row r="180" spans="1:5" x14ac:dyDescent="0.3">
      <c r="A180" s="30">
        <v>8</v>
      </c>
      <c r="B180" s="31">
        <v>58</v>
      </c>
      <c r="C180" s="32">
        <v>1520</v>
      </c>
      <c r="D180" s="33">
        <v>0</v>
      </c>
      <c r="E180" s="3"/>
    </row>
    <row r="181" spans="1:5" x14ac:dyDescent="0.3">
      <c r="A181" s="30">
        <v>58</v>
      </c>
      <c r="B181" s="31">
        <v>8</v>
      </c>
      <c r="C181" s="32">
        <v>1520</v>
      </c>
      <c r="D181" s="33">
        <v>0</v>
      </c>
      <c r="E181" s="3"/>
    </row>
    <row r="182" spans="1:5" x14ac:dyDescent="0.3">
      <c r="A182" s="30">
        <v>13</v>
      </c>
      <c r="B182" s="31">
        <v>58</v>
      </c>
      <c r="C182" s="32">
        <v>1570</v>
      </c>
      <c r="D182" s="33">
        <v>0</v>
      </c>
      <c r="E182" s="3"/>
    </row>
    <row r="183" spans="1:5" x14ac:dyDescent="0.3">
      <c r="A183" s="30">
        <v>58</v>
      </c>
      <c r="B183" s="31">
        <v>13</v>
      </c>
      <c r="C183" s="32">
        <v>1570</v>
      </c>
      <c r="D183" s="33">
        <v>0</v>
      </c>
      <c r="E183" s="3"/>
    </row>
    <row r="184" spans="1:5" x14ac:dyDescent="0.3">
      <c r="A184" s="30">
        <v>12</v>
      </c>
      <c r="B184" s="31">
        <v>58</v>
      </c>
      <c r="C184" s="32">
        <v>3390</v>
      </c>
      <c r="D184" s="33">
        <v>0</v>
      </c>
      <c r="E184" s="3"/>
    </row>
    <row r="185" spans="1:5" x14ac:dyDescent="0.3">
      <c r="A185" s="30">
        <v>58</v>
      </c>
      <c r="B185" s="31">
        <v>12</v>
      </c>
      <c r="C185" s="32">
        <v>3390</v>
      </c>
      <c r="D185" s="33">
        <v>0</v>
      </c>
      <c r="E185" s="3"/>
    </row>
    <row r="186" spans="1:5" x14ac:dyDescent="0.3">
      <c r="A186" s="30">
        <v>13</v>
      </c>
      <c r="B186" s="31">
        <v>48</v>
      </c>
      <c r="C186" s="32">
        <v>5570</v>
      </c>
      <c r="D186" s="33">
        <v>0</v>
      </c>
      <c r="E186" s="3"/>
    </row>
    <row r="187" spans="1:5" x14ac:dyDescent="0.3">
      <c r="A187" s="30">
        <v>48</v>
      </c>
      <c r="B187" s="31">
        <v>13</v>
      </c>
      <c r="C187" s="32">
        <v>5570</v>
      </c>
      <c r="D187" s="33">
        <v>0</v>
      </c>
      <c r="E187" s="3"/>
    </row>
    <row r="188" spans="1:5" x14ac:dyDescent="0.3">
      <c r="A188" s="30">
        <v>51</v>
      </c>
      <c r="B188" s="31">
        <v>55</v>
      </c>
      <c r="C188" s="40">
        <v>445</v>
      </c>
      <c r="D188" s="33">
        <v>0</v>
      </c>
      <c r="E188" s="3"/>
    </row>
    <row r="189" spans="1:5" x14ac:dyDescent="0.3">
      <c r="A189" s="30">
        <v>55</v>
      </c>
      <c r="B189" s="31">
        <v>51</v>
      </c>
      <c r="C189" s="40">
        <v>445</v>
      </c>
      <c r="D189" s="33">
        <v>0</v>
      </c>
      <c r="E189" s="3"/>
    </row>
    <row r="190" spans="1:5" x14ac:dyDescent="0.3">
      <c r="A190" s="30">
        <v>16</v>
      </c>
      <c r="B190" s="31">
        <v>55</v>
      </c>
      <c r="C190" s="32">
        <v>110</v>
      </c>
      <c r="D190" s="33">
        <v>0</v>
      </c>
      <c r="E190" s="3"/>
    </row>
    <row r="191" spans="1:5" x14ac:dyDescent="0.3">
      <c r="A191" s="30">
        <v>55</v>
      </c>
      <c r="B191" s="31">
        <v>16</v>
      </c>
      <c r="C191" s="32">
        <v>110</v>
      </c>
      <c r="D191" s="33">
        <v>0</v>
      </c>
      <c r="E191" s="3"/>
    </row>
    <row r="192" spans="1:5" ht="15" thickBot="1" x14ac:dyDescent="0.35">
      <c r="A192" s="58" t="s">
        <v>1</v>
      </c>
      <c r="B192" s="59"/>
      <c r="C192" s="60"/>
      <c r="D192" s="44">
        <f>SUMPRODUCT(C2:C185,D2:D185)</f>
        <v>0</v>
      </c>
      <c r="E192" s="3"/>
    </row>
    <row r="193" spans="5:5" x14ac:dyDescent="0.3">
      <c r="E193" s="3"/>
    </row>
  </sheetData>
  <autoFilter ref="A1:D192"/>
  <mergeCells count="1">
    <mergeCell ref="A192:C19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4.4" x14ac:dyDescent="0.3"/>
  <sheetData>
    <row r="1" spans="1:2" x14ac:dyDescent="0.3">
      <c r="A1" s="30">
        <v>2</v>
      </c>
      <c r="B1" s="31">
        <v>35</v>
      </c>
    </row>
    <row r="2" spans="1:2" x14ac:dyDescent="0.3">
      <c r="A2" s="30">
        <v>2</v>
      </c>
      <c r="B2" s="31">
        <v>38</v>
      </c>
    </row>
    <row r="3" spans="1:2" x14ac:dyDescent="0.3">
      <c r="A3" s="30">
        <v>2</v>
      </c>
      <c r="B3" s="3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E76"/>
  <sheetViews>
    <sheetView workbookViewId="0"/>
  </sheetViews>
  <sheetFormatPr defaultColWidth="15.6640625" defaultRowHeight="14.4" x14ac:dyDescent="0.3"/>
  <cols>
    <col min="1" max="16384" width="15.6640625" style="4"/>
  </cols>
  <sheetData>
    <row r="1" spans="1:213" x14ac:dyDescent="0.3">
      <c r="A1" s="4" t="s">
        <v>56</v>
      </c>
      <c r="B1" s="7">
        <f>'1-40'!$D$192</f>
        <v>0</v>
      </c>
      <c r="C1" s="8"/>
      <c r="D1" s="8"/>
      <c r="E1" s="6"/>
      <c r="F1" s="4" t="s">
        <v>90</v>
      </c>
      <c r="I1" s="4" t="s">
        <v>47</v>
      </c>
      <c r="J1" s="6">
        <v>4</v>
      </c>
      <c r="L1" s="4" t="s">
        <v>44</v>
      </c>
      <c r="M1" s="6" t="b">
        <v>1</v>
      </c>
      <c r="O1" s="4" t="s">
        <v>39</v>
      </c>
      <c r="Y1" s="4" t="s">
        <v>58</v>
      </c>
      <c r="AA1" s="4" t="s">
        <v>98</v>
      </c>
      <c r="AD1" s="4" t="s">
        <v>73</v>
      </c>
    </row>
    <row r="2" spans="1:213" x14ac:dyDescent="0.3">
      <c r="A2" s="4" t="s">
        <v>57</v>
      </c>
      <c r="B2" s="7">
        <v>1</v>
      </c>
      <c r="C2" s="7">
        <v>0</v>
      </c>
      <c r="F2" s="4" t="s">
        <v>91</v>
      </c>
      <c r="G2" s="7" t="b">
        <v>0</v>
      </c>
      <c r="H2" s="7"/>
      <c r="I2" s="4" t="s">
        <v>37</v>
      </c>
      <c r="J2" s="6"/>
      <c r="L2" s="4" t="s">
        <v>84</v>
      </c>
      <c r="M2" s="8"/>
      <c r="O2" s="4" t="s">
        <v>40</v>
      </c>
      <c r="P2" s="6"/>
      <c r="R2" s="4" t="s">
        <v>48</v>
      </c>
      <c r="S2" s="9" t="s">
        <v>105</v>
      </c>
      <c r="U2" s="4" t="s">
        <v>54</v>
      </c>
      <c r="V2" s="6"/>
      <c r="X2" s="4" t="s">
        <v>59</v>
      </c>
      <c r="Y2" s="7">
        <v>0</v>
      </c>
      <c r="AA2" s="4" t="s">
        <v>99</v>
      </c>
      <c r="AB2" s="7">
        <v>0</v>
      </c>
      <c r="AD2" s="4" t="s">
        <v>74</v>
      </c>
      <c r="AE2" s="7" t="b">
        <v>0</v>
      </c>
    </row>
    <row r="3" spans="1:213" x14ac:dyDescent="0.3">
      <c r="A3" s="4" t="s">
        <v>69</v>
      </c>
      <c r="B3" s="7" t="b">
        <v>0</v>
      </c>
      <c r="C3" s="7">
        <v>1000</v>
      </c>
      <c r="F3" s="4" t="s">
        <v>92</v>
      </c>
      <c r="G3" s="7" t="b">
        <v>0</v>
      </c>
      <c r="H3" s="7"/>
      <c r="I3" s="4" t="s">
        <v>38</v>
      </c>
      <c r="J3" s="12">
        <v>1</v>
      </c>
      <c r="L3" s="4" t="s">
        <v>83</v>
      </c>
      <c r="M3" s="8"/>
      <c r="N3" s="8"/>
      <c r="O3" s="4" t="s">
        <v>41</v>
      </c>
      <c r="P3" s="6"/>
      <c r="R3" s="4" t="s">
        <v>49</v>
      </c>
      <c r="S3" s="9" t="s">
        <v>105</v>
      </c>
      <c r="U3" s="4" t="s">
        <v>55</v>
      </c>
      <c r="V3" s="6"/>
      <c r="X3" s="4" t="s">
        <v>60</v>
      </c>
      <c r="Y3" s="7">
        <v>0.1</v>
      </c>
      <c r="AA3" s="4" t="s">
        <v>100</v>
      </c>
      <c r="AB3" s="6"/>
      <c r="AD3" s="4" t="s">
        <v>75</v>
      </c>
      <c r="AE3" s="7">
        <v>10000</v>
      </c>
    </row>
    <row r="4" spans="1:213" x14ac:dyDescent="0.3">
      <c r="A4" s="4" t="s">
        <v>71</v>
      </c>
      <c r="B4" s="7" t="b">
        <v>0</v>
      </c>
      <c r="C4" s="7">
        <v>5</v>
      </c>
      <c r="D4" s="7">
        <v>2</v>
      </c>
      <c r="F4" s="4" t="s">
        <v>93</v>
      </c>
      <c r="G4" s="7" t="b">
        <v>0</v>
      </c>
      <c r="H4" s="7"/>
      <c r="L4" s="4" t="s">
        <v>66</v>
      </c>
      <c r="M4" s="8"/>
      <c r="O4" s="4" t="s">
        <v>42</v>
      </c>
      <c r="P4" s="6"/>
      <c r="R4" s="4" t="s">
        <v>50</v>
      </c>
      <c r="S4" s="9" t="s">
        <v>106</v>
      </c>
      <c r="X4" s="4" t="s">
        <v>61</v>
      </c>
      <c r="Y4" s="7">
        <v>0.5</v>
      </c>
      <c r="AA4" s="4" t="s">
        <v>101</v>
      </c>
      <c r="AB4" s="6"/>
      <c r="AD4" s="4" t="s">
        <v>76</v>
      </c>
      <c r="AE4" s="7" t="b">
        <v>0</v>
      </c>
    </row>
    <row r="5" spans="1:213" x14ac:dyDescent="0.3">
      <c r="A5" s="4" t="s">
        <v>72</v>
      </c>
      <c r="B5" s="7" t="b">
        <v>1</v>
      </c>
      <c r="C5" s="7">
        <v>20000</v>
      </c>
      <c r="D5" s="7">
        <v>0.01</v>
      </c>
      <c r="E5" s="7" t="b">
        <v>1</v>
      </c>
      <c r="F5" s="4" t="s">
        <v>94</v>
      </c>
      <c r="G5" s="7" t="b">
        <v>0</v>
      </c>
      <c r="H5" s="7"/>
      <c r="L5" s="4" t="s">
        <v>67</v>
      </c>
      <c r="M5" s="8"/>
      <c r="O5" s="4" t="s">
        <v>43</v>
      </c>
      <c r="P5" s="6"/>
      <c r="R5" s="4" t="s">
        <v>51</v>
      </c>
      <c r="S5" s="9" t="s">
        <v>105</v>
      </c>
      <c r="X5" s="4" t="s">
        <v>62</v>
      </c>
      <c r="Y5" s="7" t="s">
        <v>104</v>
      </c>
      <c r="AA5" s="4" t="s">
        <v>102</v>
      </c>
      <c r="AB5" s="6"/>
      <c r="AD5" s="4" t="s">
        <v>77</v>
      </c>
      <c r="AE5" s="7">
        <v>15</v>
      </c>
    </row>
    <row r="6" spans="1:213" x14ac:dyDescent="0.3">
      <c r="A6" s="4" t="s">
        <v>70</v>
      </c>
      <c r="B6" s="7" t="b">
        <v>0</v>
      </c>
      <c r="C6" s="7"/>
      <c r="F6" s="4" t="s">
        <v>95</v>
      </c>
      <c r="G6" s="7" t="b">
        <v>0</v>
      </c>
      <c r="H6" s="7"/>
      <c r="L6" s="4" t="s">
        <v>96</v>
      </c>
      <c r="M6" s="8"/>
      <c r="N6" s="8"/>
      <c r="R6" s="4" t="s">
        <v>52</v>
      </c>
      <c r="S6" s="6"/>
      <c r="X6" s="4" t="s">
        <v>63</v>
      </c>
      <c r="Y6" s="8"/>
      <c r="AA6" s="4" t="s">
        <v>103</v>
      </c>
      <c r="AB6" s="6"/>
      <c r="AD6" s="4" t="s">
        <v>78</v>
      </c>
      <c r="AE6" s="7">
        <v>2</v>
      </c>
    </row>
    <row r="7" spans="1:213" x14ac:dyDescent="0.3">
      <c r="A7" s="4" t="s">
        <v>64</v>
      </c>
      <c r="B7" s="7">
        <v>50</v>
      </c>
      <c r="L7" s="4" t="s">
        <v>97</v>
      </c>
      <c r="M7" s="8"/>
      <c r="N7" s="8"/>
      <c r="R7" s="4" t="s">
        <v>53</v>
      </c>
      <c r="S7" s="6"/>
      <c r="AD7" s="4" t="s">
        <v>79</v>
      </c>
      <c r="AE7" s="7" t="b">
        <v>1</v>
      </c>
    </row>
    <row r="8" spans="1:213" x14ac:dyDescent="0.3">
      <c r="A8" s="4" t="s">
        <v>2</v>
      </c>
      <c r="B8" s="4" t="s">
        <v>2</v>
      </c>
      <c r="F8" s="4" t="s">
        <v>65</v>
      </c>
      <c r="G8" s="7" t="b">
        <v>1</v>
      </c>
      <c r="H8" s="7">
        <v>1</v>
      </c>
      <c r="AD8" s="4" t="s">
        <v>80</v>
      </c>
      <c r="AE8" s="7">
        <v>10000</v>
      </c>
    </row>
    <row r="9" spans="1:213" x14ac:dyDescent="0.3">
      <c r="A9" s="4" t="s">
        <v>89</v>
      </c>
      <c r="B9" s="7">
        <v>3</v>
      </c>
      <c r="F9" s="4" t="s">
        <v>86</v>
      </c>
      <c r="G9" s="7" t="b">
        <v>0</v>
      </c>
      <c r="AD9" s="4" t="s">
        <v>81</v>
      </c>
      <c r="AE9" s="7">
        <v>0.01</v>
      </c>
    </row>
    <row r="10" spans="1:213" x14ac:dyDescent="0.3">
      <c r="A10" s="4" t="s">
        <v>68</v>
      </c>
      <c r="B10" s="7" t="b">
        <v>0</v>
      </c>
      <c r="AD10" s="4" t="s">
        <v>82</v>
      </c>
      <c r="AE10" s="7" t="b">
        <v>1</v>
      </c>
    </row>
    <row r="11" spans="1:213" x14ac:dyDescent="0.3">
      <c r="A11" s="4" t="s">
        <v>85</v>
      </c>
      <c r="B11" s="7" t="b">
        <v>1</v>
      </c>
    </row>
    <row r="12" spans="1:213" x14ac:dyDescent="0.3">
      <c r="A12" s="4" t="s">
        <v>88</v>
      </c>
      <c r="B12" s="7" t="b">
        <v>0</v>
      </c>
      <c r="F12" s="4" t="s">
        <v>87</v>
      </c>
      <c r="G12" s="7">
        <v>2</v>
      </c>
    </row>
    <row r="14" spans="1:213" ht="15" thickBot="1" x14ac:dyDescent="0.35">
      <c r="A14" s="4" t="s">
        <v>45</v>
      </c>
      <c r="B14" s="6">
        <v>1</v>
      </c>
      <c r="AX14" s="4" t="s">
        <v>46</v>
      </c>
      <c r="AY14" s="6">
        <v>1</v>
      </c>
    </row>
    <row r="15" spans="1:213" s="5" customFormat="1" ht="15" thickTop="1" x14ac:dyDescent="0.3">
      <c r="A15" s="5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AX15" s="5" t="s">
        <v>14</v>
      </c>
      <c r="AY15" s="5" t="s">
        <v>15</v>
      </c>
      <c r="AZ15" s="5" t="s">
        <v>16</v>
      </c>
      <c r="BA15" s="5" t="s">
        <v>6</v>
      </c>
      <c r="BB15" s="5" t="s">
        <v>17</v>
      </c>
      <c r="BC15" s="5" t="s">
        <v>18</v>
      </c>
      <c r="BD15" s="5" t="s">
        <v>19</v>
      </c>
      <c r="BE15" s="5" t="s">
        <v>20</v>
      </c>
      <c r="BF15" s="5" t="s">
        <v>21</v>
      </c>
      <c r="BG15" s="5" t="s">
        <v>22</v>
      </c>
      <c r="BH15" s="5" t="s">
        <v>23</v>
      </c>
      <c r="BI15" s="5" t="s">
        <v>24</v>
      </c>
      <c r="BJ15" s="5" t="s">
        <v>25</v>
      </c>
      <c r="BK15" s="5" t="s">
        <v>26</v>
      </c>
      <c r="BL15" s="5" t="s">
        <v>27</v>
      </c>
      <c r="BM15" s="5" t="s">
        <v>28</v>
      </c>
      <c r="BN15" s="5" t="s">
        <v>29</v>
      </c>
      <c r="BO15" s="5" t="s">
        <v>30</v>
      </c>
      <c r="BP15" s="5" t="s">
        <v>31</v>
      </c>
      <c r="BQ15" s="5" t="s">
        <v>32</v>
      </c>
      <c r="BR15" s="5" t="s">
        <v>33</v>
      </c>
      <c r="BS15" s="5" t="s">
        <v>34</v>
      </c>
      <c r="BT15" s="5" t="s">
        <v>35</v>
      </c>
      <c r="BU15" s="5" t="s">
        <v>36</v>
      </c>
    </row>
    <row r="16" spans="1:213" x14ac:dyDescent="0.3">
      <c r="A16" s="4" t="s">
        <v>118</v>
      </c>
      <c r="B16" s="4">
        <v>0.1</v>
      </c>
      <c r="C16" s="4">
        <v>0.5</v>
      </c>
      <c r="D16" s="10" t="s">
        <v>119</v>
      </c>
      <c r="G16" s="4">
        <v>1</v>
      </c>
      <c r="H16" s="11">
        <f>'1-40'!$D$2:$D$185</f>
        <v>0</v>
      </c>
      <c r="I16" s="4">
        <v>0</v>
      </c>
      <c r="J16" s="4">
        <v>1</v>
      </c>
      <c r="K16" s="4" t="s">
        <v>120</v>
      </c>
      <c r="L16" s="4">
        <v>0</v>
      </c>
      <c r="M16" s="4" t="b">
        <v>0</v>
      </c>
      <c r="AX16" s="4">
        <v>2</v>
      </c>
      <c r="AY16" s="4">
        <v>1</v>
      </c>
      <c r="BB16" s="4">
        <v>0</v>
      </c>
      <c r="BC16" s="4">
        <v>6</v>
      </c>
      <c r="BD16" s="11">
        <f>'1-40'!$G$2:$G$62</f>
        <v>0</v>
      </c>
      <c r="BE16" s="4">
        <v>5</v>
      </c>
      <c r="BF16" s="4">
        <f>'1-40'!$H$2:$H$62</f>
        <v>0</v>
      </c>
      <c r="BK16" s="4">
        <v>-1</v>
      </c>
      <c r="BM16" s="4" t="b">
        <v>0</v>
      </c>
      <c r="BN16" s="4" t="b">
        <v>0</v>
      </c>
      <c r="GV16" s="10"/>
      <c r="GY16" s="11"/>
      <c r="HE16" s="11"/>
    </row>
    <row r="17" spans="1:213" x14ac:dyDescent="0.3">
      <c r="A17" s="4" t="s">
        <v>107</v>
      </c>
      <c r="GV17" s="10"/>
      <c r="GY17" s="11"/>
      <c r="HE17" s="11"/>
    </row>
    <row r="18" spans="1:213" x14ac:dyDescent="0.3">
      <c r="A18" s="4" t="s">
        <v>108</v>
      </c>
      <c r="GV18" s="10"/>
      <c r="GY18" s="11"/>
      <c r="HE18" s="11"/>
    </row>
    <row r="19" spans="1:213" x14ac:dyDescent="0.3">
      <c r="A19" s="4" t="s">
        <v>109</v>
      </c>
      <c r="GV19" s="10"/>
      <c r="GY19" s="11"/>
      <c r="HE19" s="11"/>
    </row>
    <row r="20" spans="1:213" x14ac:dyDescent="0.3">
      <c r="A20" s="4" t="s">
        <v>110</v>
      </c>
      <c r="GV20" s="10"/>
      <c r="GY20" s="11"/>
      <c r="HE20" s="11"/>
    </row>
    <row r="21" spans="1:213" x14ac:dyDescent="0.3">
      <c r="A21" s="4" t="s">
        <v>111</v>
      </c>
      <c r="GV21" s="10"/>
      <c r="GY21" s="11"/>
      <c r="HE21" s="11"/>
    </row>
    <row r="22" spans="1:213" x14ac:dyDescent="0.3">
      <c r="A22" s="4" t="s">
        <v>112</v>
      </c>
      <c r="GV22" s="10"/>
      <c r="GY22" s="11"/>
      <c r="HE22" s="11"/>
    </row>
    <row r="23" spans="1:213" x14ac:dyDescent="0.3">
      <c r="A23" s="4" t="s">
        <v>113</v>
      </c>
      <c r="GV23" s="10"/>
      <c r="GY23" s="11"/>
      <c r="HE23" s="11"/>
    </row>
    <row r="24" spans="1:213" x14ac:dyDescent="0.3">
      <c r="A24" s="4" t="s">
        <v>114</v>
      </c>
      <c r="GV24" s="10"/>
      <c r="GY24" s="11"/>
      <c r="HE24" s="11"/>
    </row>
    <row r="25" spans="1:213" x14ac:dyDescent="0.3">
      <c r="A25" s="4" t="s">
        <v>115</v>
      </c>
      <c r="GV25" s="10"/>
      <c r="GY25" s="11"/>
      <c r="HE25" s="11"/>
    </row>
    <row r="26" spans="1:213" x14ac:dyDescent="0.3">
      <c r="A26" s="4" t="s">
        <v>116</v>
      </c>
      <c r="GV26" s="10"/>
      <c r="GY26" s="11"/>
      <c r="HE26" s="11"/>
    </row>
    <row r="27" spans="1:213" x14ac:dyDescent="0.3">
      <c r="A27" s="4" t="s">
        <v>117</v>
      </c>
      <c r="GV27" s="10"/>
      <c r="GY27" s="11"/>
      <c r="HE27" s="11"/>
    </row>
    <row r="28" spans="1:213" x14ac:dyDescent="0.3">
      <c r="GV28" s="10"/>
      <c r="GY28" s="11"/>
      <c r="HE28" s="11"/>
    </row>
    <row r="29" spans="1:213" x14ac:dyDescent="0.3">
      <c r="GV29" s="10"/>
      <c r="GY29" s="11"/>
      <c r="HE29" s="11"/>
    </row>
    <row r="30" spans="1:213" x14ac:dyDescent="0.3">
      <c r="GV30" s="10"/>
      <c r="GY30" s="11"/>
      <c r="HE30" s="11"/>
    </row>
    <row r="31" spans="1:213" x14ac:dyDescent="0.3">
      <c r="GV31" s="10"/>
      <c r="GY31" s="11"/>
      <c r="HE31" s="11"/>
    </row>
    <row r="32" spans="1:213" x14ac:dyDescent="0.3">
      <c r="GV32" s="10"/>
      <c r="GY32" s="11"/>
      <c r="HE32" s="11"/>
    </row>
    <row r="33" spans="204:213" x14ac:dyDescent="0.3">
      <c r="GV33" s="10"/>
      <c r="GY33" s="11"/>
      <c r="HE33" s="11"/>
    </row>
    <row r="34" spans="204:213" x14ac:dyDescent="0.3">
      <c r="GV34" s="10"/>
      <c r="GY34" s="11"/>
      <c r="HE34" s="11"/>
    </row>
    <row r="35" spans="204:213" x14ac:dyDescent="0.3">
      <c r="GV35" s="10"/>
      <c r="GY35" s="11"/>
      <c r="HE35" s="11"/>
    </row>
    <row r="36" spans="204:213" x14ac:dyDescent="0.3">
      <c r="GV36" s="10"/>
      <c r="GY36" s="11"/>
      <c r="HE36" s="11"/>
    </row>
    <row r="37" spans="204:213" x14ac:dyDescent="0.3">
      <c r="GV37" s="10"/>
      <c r="GY37" s="11"/>
      <c r="HE37" s="11"/>
    </row>
    <row r="38" spans="204:213" x14ac:dyDescent="0.3">
      <c r="GV38" s="10"/>
      <c r="GY38" s="11"/>
      <c r="HE38" s="11"/>
    </row>
    <row r="39" spans="204:213" x14ac:dyDescent="0.3">
      <c r="GV39" s="10"/>
      <c r="GY39" s="11"/>
      <c r="HE39" s="11"/>
    </row>
    <row r="40" spans="204:213" x14ac:dyDescent="0.3">
      <c r="GV40" s="10"/>
      <c r="GY40" s="11"/>
      <c r="HE40" s="11"/>
    </row>
    <row r="41" spans="204:213" x14ac:dyDescent="0.3">
      <c r="GV41" s="10"/>
      <c r="GY41" s="11"/>
      <c r="HE41" s="11"/>
    </row>
    <row r="42" spans="204:213" x14ac:dyDescent="0.3">
      <c r="GV42" s="10"/>
      <c r="GY42" s="11"/>
      <c r="HE42" s="11"/>
    </row>
    <row r="43" spans="204:213" x14ac:dyDescent="0.3">
      <c r="GV43" s="10"/>
      <c r="GY43" s="11"/>
      <c r="HE43" s="11"/>
    </row>
    <row r="44" spans="204:213" x14ac:dyDescent="0.3">
      <c r="GV44" s="10"/>
      <c r="GY44" s="11"/>
      <c r="HE44" s="11"/>
    </row>
    <row r="45" spans="204:213" x14ac:dyDescent="0.3">
      <c r="GV45" s="10"/>
      <c r="GY45" s="11"/>
      <c r="HE45" s="11"/>
    </row>
    <row r="46" spans="204:213" x14ac:dyDescent="0.3">
      <c r="GV46" s="10"/>
      <c r="GY46" s="11"/>
      <c r="HE46" s="11"/>
    </row>
    <row r="47" spans="204:213" x14ac:dyDescent="0.3">
      <c r="GV47" s="10"/>
      <c r="GY47" s="11"/>
      <c r="HE47" s="11"/>
    </row>
    <row r="48" spans="204:213" x14ac:dyDescent="0.3">
      <c r="GV48" s="10"/>
      <c r="GY48" s="11"/>
      <c r="HE48" s="11"/>
    </row>
    <row r="49" spans="204:213" x14ac:dyDescent="0.3">
      <c r="GV49" s="10"/>
      <c r="GY49" s="11"/>
      <c r="HE49" s="11"/>
    </row>
    <row r="50" spans="204:213" x14ac:dyDescent="0.3">
      <c r="GV50" s="10"/>
      <c r="GY50" s="11"/>
      <c r="HE50" s="11"/>
    </row>
    <row r="51" spans="204:213" x14ac:dyDescent="0.3">
      <c r="GV51" s="10"/>
      <c r="GY51" s="11"/>
      <c r="HE51" s="11"/>
    </row>
    <row r="52" spans="204:213" x14ac:dyDescent="0.3">
      <c r="GV52" s="10"/>
      <c r="GY52" s="11"/>
      <c r="HE52" s="11"/>
    </row>
    <row r="53" spans="204:213" x14ac:dyDescent="0.3">
      <c r="GV53" s="10"/>
      <c r="GY53" s="11"/>
      <c r="HE53" s="11"/>
    </row>
    <row r="54" spans="204:213" x14ac:dyDescent="0.3">
      <c r="GV54" s="10"/>
      <c r="GY54" s="11"/>
      <c r="HE54" s="11"/>
    </row>
    <row r="55" spans="204:213" x14ac:dyDescent="0.3">
      <c r="GV55" s="10"/>
      <c r="GY55" s="11"/>
      <c r="HE55" s="11"/>
    </row>
    <row r="56" spans="204:213" x14ac:dyDescent="0.3">
      <c r="GV56" s="10"/>
      <c r="GY56" s="11"/>
      <c r="HE56" s="11"/>
    </row>
    <row r="57" spans="204:213" x14ac:dyDescent="0.3">
      <c r="GV57" s="10"/>
      <c r="GY57" s="11"/>
      <c r="HE57" s="11"/>
    </row>
    <row r="58" spans="204:213" x14ac:dyDescent="0.3">
      <c r="GV58" s="10"/>
      <c r="GY58" s="11"/>
      <c r="HE58" s="11"/>
    </row>
    <row r="59" spans="204:213" x14ac:dyDescent="0.3">
      <c r="GV59" s="10"/>
      <c r="GY59" s="11"/>
      <c r="HE59" s="11"/>
    </row>
    <row r="60" spans="204:213" x14ac:dyDescent="0.3">
      <c r="GV60" s="10"/>
      <c r="GY60" s="11"/>
      <c r="HE60" s="11"/>
    </row>
    <row r="61" spans="204:213" x14ac:dyDescent="0.3">
      <c r="GV61" s="10"/>
      <c r="GY61" s="11"/>
      <c r="HE61" s="11"/>
    </row>
    <row r="62" spans="204:213" x14ac:dyDescent="0.3">
      <c r="GV62" s="10"/>
      <c r="GY62" s="11"/>
      <c r="HE62" s="11"/>
    </row>
    <row r="63" spans="204:213" x14ac:dyDescent="0.3">
      <c r="GV63" s="10"/>
      <c r="GY63" s="11"/>
      <c r="HE63" s="11"/>
    </row>
    <row r="64" spans="204:213" x14ac:dyDescent="0.3">
      <c r="GV64" s="10"/>
      <c r="GY64" s="11"/>
      <c r="HE64" s="11"/>
    </row>
    <row r="65" spans="204:213" x14ac:dyDescent="0.3">
      <c r="GV65" s="10"/>
      <c r="GY65" s="11"/>
      <c r="HE65" s="11"/>
    </row>
    <row r="66" spans="204:213" x14ac:dyDescent="0.3">
      <c r="GV66" s="10"/>
      <c r="GY66" s="11"/>
      <c r="HE66" s="11"/>
    </row>
    <row r="67" spans="204:213" x14ac:dyDescent="0.3">
      <c r="GV67" s="10"/>
      <c r="GY67" s="11"/>
      <c r="HE67" s="11"/>
    </row>
    <row r="68" spans="204:213" x14ac:dyDescent="0.3">
      <c r="GV68" s="10"/>
      <c r="GY68" s="11"/>
      <c r="HE68" s="11"/>
    </row>
    <row r="69" spans="204:213" x14ac:dyDescent="0.3">
      <c r="GV69" s="10"/>
      <c r="GY69" s="11"/>
      <c r="HE69" s="11"/>
    </row>
    <row r="70" spans="204:213" x14ac:dyDescent="0.3">
      <c r="GV70" s="10"/>
      <c r="GY70" s="11"/>
      <c r="HE70" s="11"/>
    </row>
    <row r="71" spans="204:213" x14ac:dyDescent="0.3">
      <c r="GV71" s="10"/>
      <c r="GY71" s="11"/>
      <c r="HE71" s="11"/>
    </row>
    <row r="72" spans="204:213" x14ac:dyDescent="0.3">
      <c r="GV72" s="10"/>
      <c r="GY72" s="11"/>
      <c r="HE72" s="11"/>
    </row>
    <row r="73" spans="204:213" x14ac:dyDescent="0.3">
      <c r="GV73" s="10"/>
      <c r="GY73" s="11"/>
      <c r="HE73" s="11"/>
    </row>
    <row r="74" spans="204:213" x14ac:dyDescent="0.3">
      <c r="GV74" s="10"/>
      <c r="GY74" s="11"/>
      <c r="HE74" s="11"/>
    </row>
    <row r="75" spans="204:213" x14ac:dyDescent="0.3">
      <c r="GV75" s="10"/>
      <c r="GY75" s="11"/>
      <c r="HE75" s="11"/>
    </row>
    <row r="76" spans="204:213" x14ac:dyDescent="0.3">
      <c r="GV76" s="10"/>
      <c r="GY76" s="11"/>
      <c r="HE7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/>
  </sheetViews>
  <sheetFormatPr defaultRowHeight="14.4" x14ac:dyDescent="0.3"/>
  <sheetData>
    <row r="3" spans="3:3" x14ac:dyDescent="0.3"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1-40</vt:lpstr>
      <vt:lpstr>Sheet1</vt:lpstr>
      <vt:lpstr>ev_HiddenInfo</vt:lpstr>
      <vt:lpstr>_PalUtilTempWorksheet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2020-08-30T21:20:40Z</dcterms:modified>
</cp:coreProperties>
</file>